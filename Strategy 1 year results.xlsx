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ad2ccd38311f2d7/Documents/"/>
    </mc:Choice>
  </mc:AlternateContent>
  <xr:revisionPtr revIDLastSave="19" documentId="8_{FB66433E-8254-49EF-B516-45FBEC53EDAB}" xr6:coauthVersionLast="47" xr6:coauthVersionMax="47" xr10:uidLastSave="{195B9F3D-34CD-4CCF-B75D-8FD4887E8FD2}"/>
  <bookViews>
    <workbookView xWindow="-108" yWindow="-108" windowWidth="23256" windowHeight="12456" xr2:uid="{E7A7653D-3537-40DD-8B7D-8F556B4BF8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15" i="1" l="1"/>
</calcChain>
</file>

<file path=xl/sharedStrings.xml><?xml version="1.0" encoding="utf-8"?>
<sst xmlns="http://schemas.openxmlformats.org/spreadsheetml/2006/main" count="158" uniqueCount="143">
  <si>
    <t>Stock</t>
  </si>
  <si>
    <t>Entry Date</t>
  </si>
  <si>
    <t xml:space="preserve">Exit Date </t>
  </si>
  <si>
    <t>Return</t>
  </si>
  <si>
    <t>Week Ending</t>
  </si>
  <si>
    <t>Strategy</t>
  </si>
  <si>
    <t xml:space="preserve"> Maximum Return</t>
  </si>
  <si>
    <t>Maximum Return Date</t>
  </si>
  <si>
    <t>Lowest Return</t>
  </si>
  <si>
    <t>Lowest Return Date</t>
  </si>
  <si>
    <t>Initial Capital:</t>
  </si>
  <si>
    <t>Initial Capital</t>
  </si>
  <si>
    <t>PPG</t>
  </si>
  <si>
    <t>Final Portfolio Value:</t>
  </si>
  <si>
    <t>Final Portfolio Value</t>
  </si>
  <si>
    <t>CASY</t>
  </si>
  <si>
    <t>Net Profit:</t>
  </si>
  <si>
    <t>Net Profit</t>
  </si>
  <si>
    <t>IVZ</t>
  </si>
  <si>
    <t>Total Return:</t>
  </si>
  <si>
    <t>Total Return</t>
  </si>
  <si>
    <t>DECK</t>
  </si>
  <si>
    <t>CAGR:</t>
  </si>
  <si>
    <t>CAGR</t>
  </si>
  <si>
    <t>ODFL</t>
  </si>
  <si>
    <t>MSCI</t>
  </si>
  <si>
    <t>Total Trades:</t>
  </si>
  <si>
    <t>Total Trades</t>
  </si>
  <si>
    <t>AKAM</t>
  </si>
  <si>
    <t>Win Rate:</t>
  </si>
  <si>
    <t>Win Rate</t>
  </si>
  <si>
    <t>N/A</t>
  </si>
  <si>
    <t>HWM</t>
  </si>
  <si>
    <r>
      <t>Average winning trade:</t>
    </r>
    <r>
      <rPr>
        <sz val="14"/>
        <color theme="1"/>
        <rFont val="Aptos Narrow"/>
        <family val="2"/>
        <scheme val="minor"/>
      </rPr>
      <t xml:space="preserve"> </t>
    </r>
  </si>
  <si>
    <t>Average winning trade</t>
  </si>
  <si>
    <t>PM</t>
  </si>
  <si>
    <r>
      <t>Average losing trade:</t>
    </r>
    <r>
      <rPr>
        <sz val="14"/>
        <color theme="1"/>
        <rFont val="Aptos Narrow"/>
        <family val="2"/>
        <scheme val="minor"/>
      </rPr>
      <t xml:space="preserve"> </t>
    </r>
  </si>
  <si>
    <t>Average losing trade</t>
  </si>
  <si>
    <t>PSA</t>
  </si>
  <si>
    <t>Largest Winner:</t>
  </si>
  <si>
    <t>Largest Winner</t>
  </si>
  <si>
    <t>ROST</t>
  </si>
  <si>
    <t>Largest Loser:</t>
  </si>
  <si>
    <t>Largest Loser</t>
  </si>
  <si>
    <t>APH</t>
  </si>
  <si>
    <t xml:space="preserve">Median Trade Return: </t>
  </si>
  <si>
    <t>Median Trade Return</t>
  </si>
  <si>
    <t>GRMN</t>
  </si>
  <si>
    <t>Average Holding Period:</t>
  </si>
  <si>
    <t>Average Holding Period</t>
  </si>
  <si>
    <t>TPR</t>
  </si>
  <si>
    <t>Profit Factor:</t>
  </si>
  <si>
    <t>Profit Factor</t>
  </si>
  <si>
    <t>NEM</t>
  </si>
  <si>
    <t>Expectancy:</t>
  </si>
  <si>
    <t>Expectancy</t>
  </si>
  <si>
    <t>ECHO</t>
  </si>
  <si>
    <t>Maximum Drawdown:</t>
  </si>
  <si>
    <t>Maximum Drawdown</t>
  </si>
  <si>
    <t>SPY BEARISH</t>
  </si>
  <si>
    <t>Recovery  Factor:</t>
  </si>
  <si>
    <t>Recovery Factor</t>
  </si>
  <si>
    <t>Calmar Ratio:</t>
  </si>
  <si>
    <t>Calmar Ratio</t>
  </si>
  <si>
    <t>Per-Trade Sharpe Ratio:</t>
  </si>
  <si>
    <t>Per-Trade Sharpe Ratio</t>
  </si>
  <si>
    <t>Annualised Sharpe Ratio:</t>
  </si>
  <si>
    <t>Annualised Sharpe Ratio</t>
  </si>
  <si>
    <t>FITB</t>
  </si>
  <si>
    <t>Sortino Ratio:</t>
  </si>
  <si>
    <t>Sortino Ratio</t>
  </si>
  <si>
    <t>RF</t>
  </si>
  <si>
    <t>Annualised Volatility:</t>
  </si>
  <si>
    <t>Annualised Volatility</t>
  </si>
  <si>
    <t>CHRW</t>
  </si>
  <si>
    <t>C</t>
  </si>
  <si>
    <t>TFC</t>
  </si>
  <si>
    <t>ANET</t>
  </si>
  <si>
    <t>RVTY</t>
  </si>
  <si>
    <t>EL</t>
  </si>
  <si>
    <t>IBKR</t>
  </si>
  <si>
    <t>TXT</t>
  </si>
  <si>
    <t>DLTR</t>
  </si>
  <si>
    <t>APTV</t>
  </si>
  <si>
    <t>BIIB</t>
  </si>
  <si>
    <t>CCL</t>
  </si>
  <si>
    <t>COF</t>
  </si>
  <si>
    <t>SYF</t>
  </si>
  <si>
    <t>TKO</t>
  </si>
  <si>
    <t>GEV</t>
  </si>
  <si>
    <t>FSLR</t>
  </si>
  <si>
    <t>HPE</t>
  </si>
  <si>
    <t>MGM</t>
  </si>
  <si>
    <t>TSLA</t>
  </si>
  <si>
    <t>PLTR</t>
  </si>
  <si>
    <t>APP</t>
  </si>
  <si>
    <t>FLEX</t>
  </si>
  <si>
    <t>HOOD</t>
  </si>
  <si>
    <t>APA</t>
  </si>
  <si>
    <t>INTC</t>
  </si>
  <si>
    <t>MRVL</t>
  </si>
  <si>
    <t>WELL</t>
  </si>
  <si>
    <t>AMGN</t>
  </si>
  <si>
    <t>COR</t>
  </si>
  <si>
    <t>DDOG</t>
  </si>
  <si>
    <t>F</t>
  </si>
  <si>
    <t>NRG</t>
  </si>
  <si>
    <t>AXP</t>
  </si>
  <si>
    <t>PANW</t>
  </si>
  <si>
    <t>BBY</t>
  </si>
  <si>
    <t>MPWR</t>
  </si>
  <si>
    <t>CRL</t>
  </si>
  <si>
    <t>UAL</t>
  </si>
  <si>
    <t>COIN</t>
  </si>
  <si>
    <t>WYNN</t>
  </si>
  <si>
    <t>BKR</t>
  </si>
  <si>
    <t>SWKS</t>
  </si>
  <si>
    <t>BX</t>
  </si>
  <si>
    <t>BG</t>
  </si>
  <si>
    <t>VRT</t>
  </si>
  <si>
    <t>CEG</t>
  </si>
  <si>
    <t>WBD</t>
  </si>
  <si>
    <t>AMZN</t>
  </si>
  <si>
    <t>DXCM</t>
  </si>
  <si>
    <t>VLO</t>
  </si>
  <si>
    <t>HON</t>
  </si>
  <si>
    <t>Holding Period (Trading Days)</t>
  </si>
  <si>
    <t>Entry Price($)</t>
  </si>
  <si>
    <t>Exit Price($)</t>
  </si>
  <si>
    <t>Stop Loss ($)</t>
  </si>
  <si>
    <t>Take Profit ($)</t>
  </si>
  <si>
    <t>Maximum Return Price ($)</t>
  </si>
  <si>
    <t>Holding Period for Maximum Return (Trading Days)</t>
  </si>
  <si>
    <t>Lowest Return Price ($)</t>
  </si>
  <si>
    <t>Holding Period for Lowest Return (Trading Days)</t>
  </si>
  <si>
    <t>Strategy Metrics</t>
  </si>
  <si>
    <t>SPY Metrics</t>
  </si>
  <si>
    <t xml:space="preserve">  SPY Buy &amp; Hold</t>
  </si>
  <si>
    <t>Sum</t>
  </si>
  <si>
    <t>Average</t>
  </si>
  <si>
    <t>Running Total</t>
  </si>
  <si>
    <t>Count</t>
  </si>
  <si>
    <t xml:space="preserve">                  01/08/2025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</si>
</sst>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8" formatCode="&quot;£&quot;#,##0.00;[Red]\-&quot;£&quot;#,##0.00"/>
  </numFmts>
  <fonts count="5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0000"/>
      <name val="Aptos Narrow"/>
      <family val="2"/>
    </font>
    <font>
      <sz val="14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AEDFB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6" fontId="1" fillId="0" borderId="0" xfId="0" applyNumberFormat="1" applyFont="1" applyAlignment="1">
      <alignment vertical="top"/>
    </xf>
    <xf numFmtId="14" fontId="2" fillId="0" borderId="0" xfId="0" applyNumberFormat="1" applyFont="1" applyAlignment="1">
      <alignment vertical="top"/>
    </xf>
    <xf numFmtId="14" fontId="1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8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0" fillId="0" borderId="0" xfId="0" applyBorder="1"/>
    <xf numFmtId="0" fontId="1" fillId="0" borderId="0" xfId="0" applyFont="1" applyBorder="1" applyAlignment="1">
      <alignment vertical="top"/>
    </xf>
    <xf numFmtId="0" fontId="1" fillId="3" borderId="0" xfId="0" applyFont="1" applyFill="1" applyBorder="1" applyAlignment="1">
      <alignment vertical="top"/>
    </xf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2" fillId="5" borderId="0" xfId="0" applyFont="1" applyFill="1"/>
    <xf numFmtId="0" fontId="3" fillId="6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horizontal="right" vertical="center"/>
    </xf>
    <xf numFmtId="0" fontId="4" fillId="6" borderId="0" xfId="0" applyFont="1" applyFill="1" applyAlignment="1">
      <alignment horizontal="center" vertical="center"/>
    </xf>
    <xf numFmtId="8" fontId="4" fillId="6" borderId="0" xfId="0" applyNumberFormat="1" applyFont="1" applyFill="1" applyAlignment="1">
      <alignment horizontal="right" vertical="center"/>
    </xf>
    <xf numFmtId="6" fontId="4" fillId="6" borderId="0" xfId="0" applyNumberFormat="1" applyFont="1" applyFill="1" applyAlignment="1">
      <alignment horizontal="right" vertical="center"/>
    </xf>
    <xf numFmtId="14" fontId="4" fillId="6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CBD15-882C-4561-AB53-6DBDF85BBD06}">
  <dimension ref="A1:AJ81"/>
  <sheetViews>
    <sheetView tabSelected="1" zoomScale="70" zoomScaleNormal="70" workbookViewId="0">
      <selection activeCell="AD22" sqref="AD22"/>
    </sheetView>
  </sheetViews>
  <sheetFormatPr defaultRowHeight="14.4" x14ac:dyDescent="0.3"/>
  <cols>
    <col min="2" max="2" width="13.6640625" customWidth="1"/>
    <col min="3" max="3" width="15.21875" customWidth="1"/>
    <col min="4" max="4" width="13.6640625" customWidth="1"/>
    <col min="5" max="5" width="13.88671875" customWidth="1"/>
    <col min="7" max="7" width="31.44140625" customWidth="1"/>
    <col min="8" max="9" width="15" customWidth="1"/>
    <col min="10" max="10" width="22.5546875" customWidth="1"/>
    <col min="11" max="11" width="25.109375" customWidth="1"/>
    <col min="12" max="12" width="28.109375" customWidth="1"/>
    <col min="13" max="13" width="33.109375" customWidth="1"/>
    <col min="14" max="14" width="15.6640625" customWidth="1"/>
    <col min="15" max="15" width="22.21875" customWidth="1"/>
    <col min="16" max="16" width="25.5546875" customWidth="1"/>
    <col min="17" max="17" width="31.33203125" customWidth="1"/>
    <col min="19" max="19" width="20.88671875" customWidth="1"/>
    <col min="20" max="20" width="19.5546875" customWidth="1"/>
    <col min="21" max="21" width="14.109375" customWidth="1"/>
    <col min="22" max="22" width="7.88671875" customWidth="1"/>
    <col min="23" max="23" width="18.5546875" customWidth="1"/>
    <col min="24" max="24" width="13.44140625" customWidth="1"/>
    <col min="26" max="26" width="17.6640625" customWidth="1"/>
    <col min="27" max="27" width="12.6640625" customWidth="1"/>
  </cols>
  <sheetData>
    <row r="1" spans="1:27" ht="39" customHeight="1" thickBot="1" x14ac:dyDescent="0.4">
      <c r="A1" s="12" t="s">
        <v>0</v>
      </c>
      <c r="B1" s="13" t="s">
        <v>1</v>
      </c>
      <c r="C1" s="13" t="s">
        <v>127</v>
      </c>
      <c r="D1" s="13" t="s">
        <v>2</v>
      </c>
      <c r="E1" s="13" t="s">
        <v>128</v>
      </c>
      <c r="F1" s="13" t="s">
        <v>3</v>
      </c>
      <c r="G1" s="13" t="s">
        <v>126</v>
      </c>
      <c r="H1" s="13" t="s">
        <v>129</v>
      </c>
      <c r="I1" s="1" t="s">
        <v>130</v>
      </c>
      <c r="J1" s="1" t="s">
        <v>6</v>
      </c>
      <c r="K1" s="1" t="s">
        <v>7</v>
      </c>
      <c r="L1" s="1" t="s">
        <v>131</v>
      </c>
      <c r="M1" s="11" t="s">
        <v>132</v>
      </c>
      <c r="N1" s="1" t="s">
        <v>8</v>
      </c>
      <c r="O1" s="1" t="s">
        <v>9</v>
      </c>
      <c r="P1" s="1" t="s">
        <v>133</v>
      </c>
      <c r="Q1" s="11" t="s">
        <v>134</v>
      </c>
      <c r="S1" s="21" t="s">
        <v>4</v>
      </c>
      <c r="T1" s="22" t="s">
        <v>137</v>
      </c>
      <c r="U1" s="21" t="s">
        <v>5</v>
      </c>
      <c r="W1" s="18" t="s">
        <v>135</v>
      </c>
      <c r="X1" s="17"/>
      <c r="Y1" s="2"/>
      <c r="Z1" s="20" t="s">
        <v>136</v>
      </c>
      <c r="AA1" s="19"/>
    </row>
    <row r="2" spans="1:27" ht="18" x14ac:dyDescent="0.3">
      <c r="A2" s="3" t="s">
        <v>12</v>
      </c>
      <c r="B2" s="6">
        <v>46212</v>
      </c>
      <c r="C2" s="2">
        <v>115</v>
      </c>
      <c r="D2" s="6">
        <v>46230</v>
      </c>
      <c r="E2" s="2">
        <v>122.22</v>
      </c>
      <c r="F2" s="7">
        <v>5.7200000000000001E-2</v>
      </c>
      <c r="G2" s="2">
        <v>18</v>
      </c>
      <c r="H2" s="2">
        <v>105.14</v>
      </c>
      <c r="I2" s="15">
        <v>122.22</v>
      </c>
      <c r="J2" s="8">
        <v>7.3499999999999996E-2</v>
      </c>
      <c r="K2" s="6">
        <v>46231</v>
      </c>
      <c r="L2" s="2">
        <v>123.45</v>
      </c>
      <c r="M2" s="2">
        <v>19</v>
      </c>
      <c r="N2" s="8">
        <v>-1.7299999999999999E-2</v>
      </c>
      <c r="O2" s="6">
        <v>46217</v>
      </c>
      <c r="P2" s="2">
        <v>113.01</v>
      </c>
      <c r="Q2" s="2">
        <v>5</v>
      </c>
      <c r="S2" s="23" t="s">
        <v>142</v>
      </c>
      <c r="T2" s="24">
        <v>10000</v>
      </c>
      <c r="U2" s="25">
        <v>10000</v>
      </c>
      <c r="W2" s="3" t="s">
        <v>10</v>
      </c>
      <c r="X2" s="4">
        <v>10000</v>
      </c>
      <c r="Y2" s="2"/>
      <c r="Z2" s="5" t="s">
        <v>11</v>
      </c>
      <c r="AA2" s="4">
        <v>10000</v>
      </c>
    </row>
    <row r="3" spans="1:27" ht="18" x14ac:dyDescent="0.3">
      <c r="A3" s="3" t="s">
        <v>15</v>
      </c>
      <c r="B3" s="6">
        <v>46202</v>
      </c>
      <c r="C3" s="2">
        <v>792.22</v>
      </c>
      <c r="D3" s="6">
        <v>46210</v>
      </c>
      <c r="E3" s="2">
        <v>828.81</v>
      </c>
      <c r="F3" s="7">
        <v>4.6199999999999998E-2</v>
      </c>
      <c r="G3" s="2">
        <v>8</v>
      </c>
      <c r="H3" s="2">
        <v>715.8</v>
      </c>
      <c r="I3" s="15">
        <v>828.81</v>
      </c>
      <c r="J3" s="8">
        <v>6.5199999999999994E-2</v>
      </c>
      <c r="K3" s="6">
        <v>46211</v>
      </c>
      <c r="L3" s="2">
        <v>843.85</v>
      </c>
      <c r="M3" s="2">
        <v>9</v>
      </c>
      <c r="N3" s="8">
        <v>-3.5000000000000003E-2</v>
      </c>
      <c r="O3" s="6">
        <v>46203</v>
      </c>
      <c r="P3" s="2">
        <v>764.46</v>
      </c>
      <c r="Q3" s="2">
        <v>1</v>
      </c>
      <c r="S3" s="26">
        <v>45877</v>
      </c>
      <c r="T3" s="24">
        <v>10019.81</v>
      </c>
      <c r="U3" s="25">
        <v>10208</v>
      </c>
      <c r="W3" s="3" t="s">
        <v>13</v>
      </c>
      <c r="X3" s="9">
        <v>14200.76</v>
      </c>
      <c r="Y3" s="2"/>
      <c r="Z3" s="5" t="s">
        <v>14</v>
      </c>
      <c r="AA3" s="9">
        <v>11877.4</v>
      </c>
    </row>
    <row r="4" spans="1:27" ht="18" x14ac:dyDescent="0.3">
      <c r="A4" s="3" t="s">
        <v>18</v>
      </c>
      <c r="B4" s="6">
        <v>46198</v>
      </c>
      <c r="C4" s="2">
        <v>26.43</v>
      </c>
      <c r="D4" s="6">
        <v>46211</v>
      </c>
      <c r="E4" s="2">
        <v>28.5</v>
      </c>
      <c r="F4" s="7">
        <v>7.85E-2</v>
      </c>
      <c r="G4" s="2">
        <v>13</v>
      </c>
      <c r="H4" s="2">
        <v>23.89</v>
      </c>
      <c r="I4" s="15">
        <v>28.5</v>
      </c>
      <c r="J4" s="8">
        <v>8.5900000000000004E-2</v>
      </c>
      <c r="K4" s="6">
        <v>46212</v>
      </c>
      <c r="L4" s="2">
        <v>28.7</v>
      </c>
      <c r="M4" s="2">
        <v>14</v>
      </c>
      <c r="N4" s="8">
        <v>-2.7199999999999998E-2</v>
      </c>
      <c r="O4" s="6">
        <v>46198</v>
      </c>
      <c r="P4" s="2">
        <v>25.71</v>
      </c>
      <c r="Q4" s="2">
        <v>0</v>
      </c>
      <c r="S4" s="26">
        <v>45884</v>
      </c>
      <c r="T4" s="24">
        <v>10118.25</v>
      </c>
      <c r="U4" s="25">
        <v>10556</v>
      </c>
      <c r="W4" s="3" t="s">
        <v>16</v>
      </c>
      <c r="X4" s="9">
        <v>4200.76</v>
      </c>
      <c r="Y4" s="2"/>
      <c r="Z4" s="5" t="s">
        <v>17</v>
      </c>
      <c r="AA4" s="9">
        <v>1877.4</v>
      </c>
    </row>
    <row r="5" spans="1:27" ht="18" x14ac:dyDescent="0.3">
      <c r="A5" s="3" t="s">
        <v>21</v>
      </c>
      <c r="B5" s="6">
        <v>46197</v>
      </c>
      <c r="C5" s="2">
        <v>103.51</v>
      </c>
      <c r="D5" s="6">
        <v>46213</v>
      </c>
      <c r="E5" s="2">
        <v>108.17</v>
      </c>
      <c r="F5" s="7">
        <v>4.4999999999999998E-2</v>
      </c>
      <c r="G5" s="2">
        <v>16</v>
      </c>
      <c r="H5" s="2">
        <v>95.34</v>
      </c>
      <c r="I5" s="15">
        <v>112.62</v>
      </c>
      <c r="J5" s="8">
        <v>7.0199999999999999E-2</v>
      </c>
      <c r="K5" s="6">
        <v>46216</v>
      </c>
      <c r="L5" s="2">
        <v>110.78</v>
      </c>
      <c r="M5" s="2">
        <v>19</v>
      </c>
      <c r="N5" s="8">
        <v>-4.5699999999999998E-2</v>
      </c>
      <c r="O5" s="6">
        <v>46203</v>
      </c>
      <c r="P5" s="2">
        <v>98.78</v>
      </c>
      <c r="Q5" s="2">
        <v>6</v>
      </c>
      <c r="S5" s="26">
        <v>45891</v>
      </c>
      <c r="T5" s="24">
        <v>10147.66</v>
      </c>
      <c r="U5" s="25">
        <v>10705</v>
      </c>
      <c r="W5" s="3" t="s">
        <v>19</v>
      </c>
      <c r="X5" s="8">
        <v>0.420076</v>
      </c>
      <c r="Y5" s="2"/>
      <c r="Z5" s="5" t="s">
        <v>20</v>
      </c>
      <c r="AA5" s="8">
        <v>0.18770000000000001</v>
      </c>
    </row>
    <row r="6" spans="1:27" ht="18" x14ac:dyDescent="0.3">
      <c r="A6" s="3" t="s">
        <v>24</v>
      </c>
      <c r="B6" s="6">
        <v>46197</v>
      </c>
      <c r="C6" s="2">
        <v>219.68</v>
      </c>
      <c r="D6" s="6">
        <v>46213</v>
      </c>
      <c r="E6" s="2">
        <v>229.57</v>
      </c>
      <c r="F6" s="7">
        <v>4.4999999999999998E-2</v>
      </c>
      <c r="G6" s="2">
        <v>16</v>
      </c>
      <c r="H6" s="2">
        <v>200.17</v>
      </c>
      <c r="I6" s="15">
        <v>236.28</v>
      </c>
      <c r="J6" s="8">
        <v>7.17E-2</v>
      </c>
      <c r="K6" s="6">
        <v>46216</v>
      </c>
      <c r="L6" s="2">
        <v>235.44</v>
      </c>
      <c r="M6" s="2">
        <v>19</v>
      </c>
      <c r="N6" s="8">
        <v>-3.2899999999999999E-2</v>
      </c>
      <c r="O6" s="6">
        <v>46203</v>
      </c>
      <c r="P6" s="2">
        <v>212.45</v>
      </c>
      <c r="Q6" s="2">
        <v>6</v>
      </c>
      <c r="S6" s="26">
        <v>45898</v>
      </c>
      <c r="T6" s="24">
        <v>10143.57</v>
      </c>
      <c r="U6" s="25">
        <v>10705</v>
      </c>
      <c r="W6" s="3" t="s">
        <v>22</v>
      </c>
      <c r="X6" s="8">
        <v>0.420076</v>
      </c>
      <c r="Y6" s="2"/>
      <c r="Z6" s="5" t="s">
        <v>23</v>
      </c>
      <c r="AA6" s="8">
        <v>0.18770000000000001</v>
      </c>
    </row>
    <row r="7" spans="1:27" ht="18" x14ac:dyDescent="0.3">
      <c r="A7" s="3" t="s">
        <v>25</v>
      </c>
      <c r="B7" s="6">
        <v>46195</v>
      </c>
      <c r="C7" s="2">
        <v>579.04999999999995</v>
      </c>
      <c r="D7" s="6">
        <v>46209</v>
      </c>
      <c r="E7" s="2">
        <v>619.78</v>
      </c>
      <c r="F7" s="7">
        <v>7.0300000000000001E-2</v>
      </c>
      <c r="G7" s="2">
        <v>14</v>
      </c>
      <c r="H7" s="2">
        <v>534.69000000000005</v>
      </c>
      <c r="I7" s="15">
        <v>619.78</v>
      </c>
      <c r="J7" s="8">
        <v>7.0699999999999999E-2</v>
      </c>
      <c r="K7" s="6">
        <v>46210</v>
      </c>
      <c r="L7" s="2">
        <v>619.97</v>
      </c>
      <c r="M7" s="2">
        <v>15</v>
      </c>
      <c r="N7" s="8">
        <v>-6.3399999999999998E-2</v>
      </c>
      <c r="O7" s="6">
        <v>46198</v>
      </c>
      <c r="P7" s="2">
        <v>542.33000000000004</v>
      </c>
      <c r="Q7" s="2">
        <v>3</v>
      </c>
      <c r="S7" s="26">
        <v>45905</v>
      </c>
      <c r="T7" s="24">
        <v>10178.01</v>
      </c>
      <c r="U7" s="25">
        <v>10705</v>
      </c>
      <c r="W7" s="3"/>
      <c r="X7" s="2"/>
      <c r="Y7" s="2"/>
      <c r="Z7" s="5"/>
      <c r="AA7" s="6"/>
    </row>
    <row r="8" spans="1:27" ht="18" x14ac:dyDescent="0.3">
      <c r="A8" s="3" t="s">
        <v>28</v>
      </c>
      <c r="B8" s="6">
        <v>46184</v>
      </c>
      <c r="C8" s="2">
        <v>129.97</v>
      </c>
      <c r="D8" s="6">
        <v>46191</v>
      </c>
      <c r="E8" s="2">
        <v>122.17</v>
      </c>
      <c r="F8" s="7">
        <v>-0.06</v>
      </c>
      <c r="G8" s="2">
        <v>7</v>
      </c>
      <c r="H8" s="2">
        <v>119.57</v>
      </c>
      <c r="I8" s="15">
        <v>151.71</v>
      </c>
      <c r="J8" s="8">
        <v>6.1199999999999997E-2</v>
      </c>
      <c r="K8" s="6">
        <v>46189</v>
      </c>
      <c r="L8" s="2">
        <v>137.93</v>
      </c>
      <c r="M8" s="2">
        <v>5</v>
      </c>
      <c r="N8" s="8">
        <v>-8.4599999999999995E-2</v>
      </c>
      <c r="O8" s="6">
        <v>46195</v>
      </c>
      <c r="P8" s="2">
        <v>118.98</v>
      </c>
      <c r="Q8" s="2">
        <v>11</v>
      </c>
      <c r="S8" s="26">
        <v>45912</v>
      </c>
      <c r="T8" s="24">
        <v>10337.93</v>
      </c>
      <c r="U8" s="25">
        <v>10713</v>
      </c>
      <c r="W8" s="3" t="s">
        <v>26</v>
      </c>
      <c r="X8" s="2">
        <v>79</v>
      </c>
      <c r="Y8" s="2"/>
      <c r="Z8" s="5" t="s">
        <v>27</v>
      </c>
      <c r="AA8" s="6" t="s">
        <v>31</v>
      </c>
    </row>
    <row r="9" spans="1:27" ht="18" x14ac:dyDescent="0.3">
      <c r="A9" s="3" t="s">
        <v>32</v>
      </c>
      <c r="B9" s="6">
        <v>46177</v>
      </c>
      <c r="C9" s="2">
        <v>248.22</v>
      </c>
      <c r="D9" s="6">
        <v>46183</v>
      </c>
      <c r="E9" s="2">
        <v>264.35000000000002</v>
      </c>
      <c r="F9" s="7">
        <v>6.5000000000000002E-2</v>
      </c>
      <c r="G9" s="2">
        <v>6</v>
      </c>
      <c r="H9" s="2">
        <v>228.74</v>
      </c>
      <c r="I9" s="15">
        <v>266.69</v>
      </c>
      <c r="J9" s="8">
        <v>6.6199999999999995E-2</v>
      </c>
      <c r="K9" s="6">
        <v>46184</v>
      </c>
      <c r="L9" s="2">
        <v>264.66000000000003</v>
      </c>
      <c r="M9" s="2">
        <v>7</v>
      </c>
      <c r="N9" s="8">
        <v>-1.83E-2</v>
      </c>
      <c r="O9" s="6">
        <v>46182</v>
      </c>
      <c r="P9" s="2">
        <v>243.68</v>
      </c>
      <c r="Q9" s="2">
        <v>5</v>
      </c>
      <c r="S9" s="26">
        <v>45919</v>
      </c>
      <c r="T9" s="24">
        <v>10465.780000000001</v>
      </c>
      <c r="U9" s="25">
        <v>10852</v>
      </c>
      <c r="W9" s="3" t="s">
        <v>29</v>
      </c>
      <c r="X9" s="8">
        <v>0.6835</v>
      </c>
      <c r="Y9" s="2"/>
      <c r="Z9" s="5" t="s">
        <v>30</v>
      </c>
      <c r="AA9" s="6" t="s">
        <v>31</v>
      </c>
    </row>
    <row r="10" spans="1:27" ht="18" x14ac:dyDescent="0.3">
      <c r="A10" s="3" t="s">
        <v>35</v>
      </c>
      <c r="B10" s="6">
        <v>46175</v>
      </c>
      <c r="C10" s="2">
        <v>168.75</v>
      </c>
      <c r="D10" s="6">
        <v>46182</v>
      </c>
      <c r="E10" s="2">
        <v>179.72</v>
      </c>
      <c r="F10" s="7">
        <v>6.5000000000000002E-2</v>
      </c>
      <c r="G10" s="2">
        <v>7</v>
      </c>
      <c r="H10" s="2">
        <v>157.54</v>
      </c>
      <c r="I10" s="15">
        <v>183.66</v>
      </c>
      <c r="J10" s="8">
        <v>7.6200000000000004E-2</v>
      </c>
      <c r="K10" s="6">
        <v>46183</v>
      </c>
      <c r="L10" s="2">
        <v>181.6</v>
      </c>
      <c r="M10" s="2">
        <v>8</v>
      </c>
      <c r="N10" s="8">
        <v>-8.9999999999999998E-4</v>
      </c>
      <c r="O10" s="6">
        <v>46175</v>
      </c>
      <c r="P10" s="2">
        <v>168.6</v>
      </c>
      <c r="Q10" s="2">
        <v>0</v>
      </c>
      <c r="S10" s="26">
        <v>45926</v>
      </c>
      <c r="T10" s="24">
        <v>10436.14</v>
      </c>
      <c r="U10" s="25">
        <v>10852</v>
      </c>
      <c r="W10" s="3" t="s">
        <v>33</v>
      </c>
      <c r="X10" s="8">
        <v>6.2300000000000001E-2</v>
      </c>
      <c r="Y10" s="2"/>
      <c r="Z10" s="5" t="s">
        <v>34</v>
      </c>
      <c r="AA10" s="6" t="s">
        <v>31</v>
      </c>
    </row>
    <row r="11" spans="1:27" ht="18" x14ac:dyDescent="0.3">
      <c r="A11" s="3" t="s">
        <v>38</v>
      </c>
      <c r="B11" s="6">
        <v>46160</v>
      </c>
      <c r="C11" s="2">
        <v>290.04000000000002</v>
      </c>
      <c r="D11" s="6">
        <v>46169</v>
      </c>
      <c r="E11" s="2">
        <v>307.77</v>
      </c>
      <c r="F11" s="7">
        <v>6.1100000000000002E-2</v>
      </c>
      <c r="G11" s="2">
        <v>9</v>
      </c>
      <c r="H11" s="2">
        <v>266.60000000000002</v>
      </c>
      <c r="I11" s="15">
        <v>307.77</v>
      </c>
      <c r="J11" s="8">
        <v>6.5199999999999994E-2</v>
      </c>
      <c r="K11" s="6">
        <v>46170</v>
      </c>
      <c r="L11" s="2">
        <v>308.95999999999998</v>
      </c>
      <c r="M11" s="2">
        <v>10</v>
      </c>
      <c r="N11" s="8">
        <v>-1.2E-2</v>
      </c>
      <c r="O11" s="6">
        <v>46161</v>
      </c>
      <c r="P11" s="2">
        <v>286.55</v>
      </c>
      <c r="Q11" s="2">
        <v>1</v>
      </c>
      <c r="S11" s="26">
        <v>45933</v>
      </c>
      <c r="T11" s="24">
        <v>10552.67</v>
      </c>
      <c r="U11" s="25">
        <v>10984</v>
      </c>
      <c r="W11" s="3" t="s">
        <v>36</v>
      </c>
      <c r="X11" s="8">
        <v>-5.9200000000000003E-2</v>
      </c>
      <c r="Y11" s="2"/>
      <c r="Z11" s="5" t="s">
        <v>37</v>
      </c>
      <c r="AA11" s="6" t="s">
        <v>31</v>
      </c>
    </row>
    <row r="12" spans="1:27" ht="18" x14ac:dyDescent="0.3">
      <c r="A12" s="3" t="s">
        <v>41</v>
      </c>
      <c r="B12" s="6">
        <v>46154</v>
      </c>
      <c r="C12" s="2">
        <v>214.38</v>
      </c>
      <c r="D12" s="6">
        <v>46163</v>
      </c>
      <c r="E12" s="2">
        <v>229.63</v>
      </c>
      <c r="F12" s="7">
        <v>7.1099999999999997E-2</v>
      </c>
      <c r="G12" s="2">
        <v>9</v>
      </c>
      <c r="H12" s="2">
        <v>197</v>
      </c>
      <c r="I12" s="15">
        <v>229.63</v>
      </c>
      <c r="J12" s="8">
        <v>9.7799999999999998E-2</v>
      </c>
      <c r="K12" s="6">
        <v>46164</v>
      </c>
      <c r="L12" s="2">
        <v>235.34</v>
      </c>
      <c r="M12" s="2">
        <v>10</v>
      </c>
      <c r="N12" s="8">
        <v>-3.0700000000000002E-2</v>
      </c>
      <c r="O12" s="6">
        <v>46161</v>
      </c>
      <c r="P12" s="2">
        <v>207.79</v>
      </c>
      <c r="Q12" s="2">
        <v>7</v>
      </c>
      <c r="S12" s="26">
        <v>45940</v>
      </c>
      <c r="T12" s="24">
        <v>10297.370000000001</v>
      </c>
      <c r="U12" s="25">
        <v>11141</v>
      </c>
      <c r="W12" s="3" t="s">
        <v>39</v>
      </c>
      <c r="X12" s="8">
        <v>0.12870000000000001</v>
      </c>
      <c r="Y12" s="2"/>
      <c r="Z12" s="5" t="s">
        <v>40</v>
      </c>
      <c r="AA12" s="6" t="s">
        <v>31</v>
      </c>
    </row>
    <row r="13" spans="1:27" ht="18" x14ac:dyDescent="0.3">
      <c r="A13" s="3" t="s">
        <v>44</v>
      </c>
      <c r="B13" s="6">
        <v>46148</v>
      </c>
      <c r="C13" s="2">
        <v>137.79</v>
      </c>
      <c r="D13" s="6">
        <v>46150</v>
      </c>
      <c r="E13" s="2">
        <v>125.57</v>
      </c>
      <c r="F13" s="7">
        <v>-8.8700000000000001E-2</v>
      </c>
      <c r="G13" s="2">
        <v>2</v>
      </c>
      <c r="H13" s="2">
        <v>125.57</v>
      </c>
      <c r="I13" s="15">
        <v>148.47</v>
      </c>
      <c r="J13" s="8">
        <v>2.0899999999999998E-2</v>
      </c>
      <c r="K13" s="6">
        <v>46148</v>
      </c>
      <c r="L13" s="2">
        <v>140.66999999999999</v>
      </c>
      <c r="M13" s="2">
        <v>0</v>
      </c>
      <c r="N13" s="8">
        <v>-0.1201</v>
      </c>
      <c r="O13" s="6">
        <v>46153</v>
      </c>
      <c r="P13" s="2">
        <v>121.25</v>
      </c>
      <c r="Q13" s="2">
        <v>5</v>
      </c>
      <c r="S13" s="26">
        <v>45947</v>
      </c>
      <c r="T13" s="24">
        <v>10476.66</v>
      </c>
      <c r="U13" s="25">
        <v>11141</v>
      </c>
      <c r="W13" s="3" t="s">
        <v>42</v>
      </c>
      <c r="X13" s="8">
        <v>-9.8199999999999996E-2</v>
      </c>
      <c r="Y13" s="2"/>
      <c r="Z13" s="5" t="s">
        <v>43</v>
      </c>
      <c r="AA13" s="6" t="s">
        <v>31</v>
      </c>
    </row>
    <row r="14" spans="1:27" ht="18" x14ac:dyDescent="0.3">
      <c r="A14" s="3" t="s">
        <v>47</v>
      </c>
      <c r="B14" s="6">
        <v>46147</v>
      </c>
      <c r="C14" s="2">
        <v>238.57</v>
      </c>
      <c r="D14" s="6">
        <v>46164</v>
      </c>
      <c r="E14" s="2">
        <v>239.65</v>
      </c>
      <c r="F14" s="7">
        <v>4.4999999999999997E-3</v>
      </c>
      <c r="G14" s="2">
        <v>17</v>
      </c>
      <c r="H14" s="2">
        <v>218.54</v>
      </c>
      <c r="I14" s="15">
        <v>261.05</v>
      </c>
      <c r="J14" s="8">
        <v>3.1099999999999999E-2</v>
      </c>
      <c r="K14" s="6">
        <v>46149</v>
      </c>
      <c r="L14" s="2">
        <v>245.99</v>
      </c>
      <c r="M14" s="2">
        <v>2</v>
      </c>
      <c r="N14" s="8">
        <v>-6.3E-2</v>
      </c>
      <c r="O14" s="6">
        <v>46161</v>
      </c>
      <c r="P14" s="2">
        <v>223.55</v>
      </c>
      <c r="Q14" s="2">
        <v>14</v>
      </c>
      <c r="S14" s="26">
        <v>45954</v>
      </c>
      <c r="T14" s="24">
        <v>10679.45</v>
      </c>
      <c r="U14" s="25">
        <v>11353</v>
      </c>
      <c r="W14" s="3" t="s">
        <v>45</v>
      </c>
      <c r="X14" s="8">
        <v>4.4999999999999998E-2</v>
      </c>
      <c r="Y14" s="2"/>
      <c r="Z14" s="5" t="s">
        <v>46</v>
      </c>
      <c r="AA14" s="6" t="s">
        <v>31</v>
      </c>
    </row>
    <row r="15" spans="1:27" ht="18" x14ac:dyDescent="0.3">
      <c r="A15" s="3" t="s">
        <v>50</v>
      </c>
      <c r="B15" s="6">
        <v>46147</v>
      </c>
      <c r="C15" s="2">
        <v>140.52000000000001</v>
      </c>
      <c r="D15" s="6">
        <v>46153</v>
      </c>
      <c r="E15" s="2">
        <v>132.09</v>
      </c>
      <c r="F15" s="7">
        <v>-0.06</v>
      </c>
      <c r="G15" s="2">
        <v>6</v>
      </c>
      <c r="H15" s="2">
        <v>128.19</v>
      </c>
      <c r="I15" s="15">
        <v>150.25</v>
      </c>
      <c r="J15" s="8">
        <v>5.9499999999999997E-2</v>
      </c>
      <c r="K15" s="6">
        <v>46148</v>
      </c>
      <c r="L15" s="2">
        <v>148.88</v>
      </c>
      <c r="M15" s="2">
        <v>1</v>
      </c>
      <c r="N15" s="8">
        <v>-8.9300000000000004E-2</v>
      </c>
      <c r="O15" s="6">
        <v>46154</v>
      </c>
      <c r="P15" s="2">
        <v>127.97</v>
      </c>
      <c r="Q15" s="2">
        <v>7</v>
      </c>
      <c r="S15" s="26">
        <v>45961</v>
      </c>
      <c r="T15" s="24">
        <v>10755.3</v>
      </c>
      <c r="U15" s="25">
        <v>11191</v>
      </c>
      <c r="W15" s="3" t="s">
        <v>48</v>
      </c>
      <c r="X15" s="2">
        <f>AVERAGE(G2:G79)</f>
        <v>11.426666666666666</v>
      </c>
      <c r="Y15" s="2"/>
      <c r="Z15" s="5" t="s">
        <v>49</v>
      </c>
      <c r="AA15" s="6" t="s">
        <v>31</v>
      </c>
    </row>
    <row r="16" spans="1:27" ht="18" x14ac:dyDescent="0.3">
      <c r="A16" s="3" t="s">
        <v>53</v>
      </c>
      <c r="B16" s="6">
        <v>46142</v>
      </c>
      <c r="C16" s="2">
        <v>109.24</v>
      </c>
      <c r="D16" s="6">
        <v>46148</v>
      </c>
      <c r="E16" s="2">
        <v>116.69</v>
      </c>
      <c r="F16" s="7">
        <v>6.8199999999999997E-2</v>
      </c>
      <c r="G16" s="2">
        <v>6</v>
      </c>
      <c r="H16" s="2">
        <v>98.77</v>
      </c>
      <c r="I16" s="15">
        <v>116.69</v>
      </c>
      <c r="J16" s="8">
        <v>9.3700000000000006E-2</v>
      </c>
      <c r="K16" s="6">
        <v>46149</v>
      </c>
      <c r="L16" s="2">
        <v>119.48</v>
      </c>
      <c r="M16" s="2">
        <v>7</v>
      </c>
      <c r="N16" s="8">
        <v>-1.9199999999999998E-2</v>
      </c>
      <c r="O16" s="6">
        <v>46146</v>
      </c>
      <c r="P16" s="2">
        <v>107.15</v>
      </c>
      <c r="Q16" s="2">
        <v>4</v>
      </c>
      <c r="S16" s="26">
        <v>45968</v>
      </c>
      <c r="T16" s="24">
        <v>10580.42</v>
      </c>
      <c r="U16" s="25">
        <v>11352</v>
      </c>
      <c r="W16" s="3" t="s">
        <v>51</v>
      </c>
      <c r="X16" s="2">
        <v>2.27</v>
      </c>
      <c r="Y16" s="2"/>
      <c r="Z16" s="5" t="s">
        <v>52</v>
      </c>
      <c r="AA16" s="6" t="s">
        <v>31</v>
      </c>
    </row>
    <row r="17" spans="1:33" ht="18" x14ac:dyDescent="0.3">
      <c r="A17" s="3" t="s">
        <v>56</v>
      </c>
      <c r="B17" s="6">
        <v>46139</v>
      </c>
      <c r="C17" s="2">
        <v>118</v>
      </c>
      <c r="D17" s="6">
        <v>46147</v>
      </c>
      <c r="E17" s="2">
        <v>125.67</v>
      </c>
      <c r="F17" s="7">
        <v>6.5000000000000002E-2</v>
      </c>
      <c r="G17" s="2">
        <v>8</v>
      </c>
      <c r="H17" s="2">
        <v>108.1</v>
      </c>
      <c r="I17" s="15">
        <v>127.01</v>
      </c>
      <c r="J17" s="8">
        <v>7.4399999999999994E-2</v>
      </c>
      <c r="K17" s="6">
        <v>46148</v>
      </c>
      <c r="L17" s="2">
        <v>126.78</v>
      </c>
      <c r="M17" s="2">
        <v>9</v>
      </c>
      <c r="N17" s="8">
        <v>-1.24E-2</v>
      </c>
      <c r="O17" s="6">
        <v>46147</v>
      </c>
      <c r="P17" s="2">
        <v>116.54</v>
      </c>
      <c r="Q17" s="2">
        <v>8</v>
      </c>
      <c r="S17" s="26">
        <v>45975</v>
      </c>
      <c r="T17" s="24">
        <v>10595.56</v>
      </c>
      <c r="U17" s="25">
        <v>11081</v>
      </c>
      <c r="W17" s="3" t="s">
        <v>54</v>
      </c>
      <c r="X17" s="8">
        <v>2.3900000000000001E-2</v>
      </c>
      <c r="Y17" s="2"/>
      <c r="Z17" s="5" t="s">
        <v>55</v>
      </c>
      <c r="AA17" s="6" t="s">
        <v>31</v>
      </c>
    </row>
    <row r="18" spans="1:33" ht="18" x14ac:dyDescent="0.3">
      <c r="A18" s="2"/>
      <c r="B18" s="2"/>
      <c r="C18" s="2"/>
      <c r="D18" s="2"/>
      <c r="E18" s="2"/>
      <c r="F18" s="2"/>
      <c r="G18" s="2"/>
      <c r="H18" s="2"/>
      <c r="I18" s="15"/>
      <c r="J18" s="15"/>
      <c r="K18" s="2"/>
      <c r="L18" s="2"/>
      <c r="M18" s="2"/>
      <c r="N18" s="2"/>
      <c r="O18" s="2"/>
      <c r="P18" s="2"/>
      <c r="Q18" s="2"/>
      <c r="S18" s="26">
        <v>45982</v>
      </c>
      <c r="T18" s="24">
        <v>10392.14</v>
      </c>
      <c r="U18" s="25">
        <v>11206</v>
      </c>
      <c r="W18" s="2"/>
      <c r="X18" s="2"/>
      <c r="Y18" s="2"/>
      <c r="Z18" s="5"/>
      <c r="AA18" s="6"/>
    </row>
    <row r="19" spans="1:33" ht="18" x14ac:dyDescent="0.3">
      <c r="A19" s="10" t="s">
        <v>59</v>
      </c>
      <c r="B19" s="10"/>
      <c r="C19" s="10"/>
      <c r="D19" s="10"/>
      <c r="E19" s="10"/>
      <c r="F19" s="10"/>
      <c r="G19" s="10"/>
      <c r="H19" s="10"/>
      <c r="I19" s="16"/>
      <c r="J19" s="10"/>
      <c r="K19" s="10"/>
      <c r="L19" s="10"/>
      <c r="M19" s="10"/>
      <c r="N19" s="10"/>
      <c r="O19" s="10"/>
      <c r="P19" s="10"/>
      <c r="Q19" s="10"/>
      <c r="S19" s="26">
        <v>45989</v>
      </c>
      <c r="T19" s="24">
        <v>10776.27</v>
      </c>
      <c r="U19" s="25">
        <v>11286</v>
      </c>
      <c r="W19" s="3" t="s">
        <v>57</v>
      </c>
      <c r="X19" s="8">
        <v>-9.1200000000000003E-2</v>
      </c>
      <c r="Y19" s="2"/>
      <c r="Z19" s="3" t="s">
        <v>58</v>
      </c>
      <c r="AA19" s="8">
        <v>-6.7000000000000004E-2</v>
      </c>
    </row>
    <row r="20" spans="1:33" ht="18" x14ac:dyDescent="0.3">
      <c r="I20" s="14"/>
      <c r="J20" s="2"/>
      <c r="K20" s="2"/>
      <c r="L20" s="2"/>
      <c r="M20" s="2"/>
      <c r="N20" s="2"/>
      <c r="O20" s="2"/>
      <c r="P20" s="2"/>
      <c r="Q20" s="2"/>
      <c r="S20" s="26">
        <v>45996</v>
      </c>
      <c r="T20" s="24">
        <v>10812.54</v>
      </c>
      <c r="U20" s="25">
        <v>11171</v>
      </c>
      <c r="W20" s="3" t="s">
        <v>60</v>
      </c>
      <c r="X20" s="2">
        <v>3.81</v>
      </c>
      <c r="Y20" s="2"/>
      <c r="Z20" s="3" t="s">
        <v>61</v>
      </c>
      <c r="AA20" s="2">
        <v>2.8</v>
      </c>
    </row>
    <row r="21" spans="1:33" ht="18" x14ac:dyDescent="0.3">
      <c r="A21" s="3" t="s">
        <v>68</v>
      </c>
      <c r="B21" s="6">
        <v>46083</v>
      </c>
      <c r="C21" s="2">
        <v>48.24</v>
      </c>
      <c r="D21" s="6">
        <v>46087</v>
      </c>
      <c r="E21" s="2">
        <v>45.34</v>
      </c>
      <c r="F21" s="7">
        <v>-0.06</v>
      </c>
      <c r="G21" s="2">
        <v>4</v>
      </c>
      <c r="H21" s="2">
        <v>44.79</v>
      </c>
      <c r="I21" s="15">
        <v>52.91</v>
      </c>
      <c r="J21" s="2"/>
      <c r="K21" s="2"/>
      <c r="L21" s="2"/>
      <c r="M21" s="2"/>
      <c r="N21" s="2"/>
      <c r="O21" s="2"/>
      <c r="P21" s="2"/>
      <c r="Q21" s="2"/>
      <c r="S21" s="26">
        <v>46003</v>
      </c>
      <c r="T21" s="24">
        <v>10750.57</v>
      </c>
      <c r="U21" s="25">
        <v>11162</v>
      </c>
      <c r="W21" s="3" t="s">
        <v>62</v>
      </c>
      <c r="X21" s="2">
        <v>4.6100000000000003</v>
      </c>
      <c r="Y21" s="2"/>
      <c r="Z21" s="3" t="s">
        <v>63</v>
      </c>
      <c r="AA21" s="2">
        <v>2.8</v>
      </c>
    </row>
    <row r="22" spans="1:33" ht="18" x14ac:dyDescent="0.3">
      <c r="A22" s="3" t="s">
        <v>71</v>
      </c>
      <c r="B22" s="6">
        <v>46083</v>
      </c>
      <c r="C22" s="2">
        <v>26.8</v>
      </c>
      <c r="D22" s="6">
        <v>46092</v>
      </c>
      <c r="E22" s="2">
        <v>25.2</v>
      </c>
      <c r="F22" s="7">
        <v>-0.06</v>
      </c>
      <c r="G22" s="2">
        <v>9</v>
      </c>
      <c r="H22" s="2">
        <v>25.12</v>
      </c>
      <c r="I22" s="15">
        <v>29.74</v>
      </c>
      <c r="J22" s="2"/>
      <c r="K22" s="2"/>
      <c r="L22" s="2"/>
      <c r="M22" s="2"/>
      <c r="N22" s="2"/>
      <c r="O22" s="2"/>
      <c r="P22" s="2"/>
      <c r="Q22" s="2"/>
      <c r="S22" s="26">
        <v>46010</v>
      </c>
      <c r="T22" s="24">
        <v>10763.83</v>
      </c>
      <c r="U22" s="25">
        <v>11610</v>
      </c>
      <c r="W22" s="3" t="s">
        <v>64</v>
      </c>
      <c r="X22" s="2">
        <v>0.4</v>
      </c>
      <c r="Y22" s="2"/>
      <c r="Z22" s="3" t="s">
        <v>65</v>
      </c>
      <c r="AA22" s="2" t="s">
        <v>31</v>
      </c>
    </row>
    <row r="23" spans="1:33" ht="18" x14ac:dyDescent="0.3">
      <c r="A23" s="3" t="s">
        <v>74</v>
      </c>
      <c r="B23" s="6">
        <v>46079</v>
      </c>
      <c r="C23" s="2">
        <v>174.98</v>
      </c>
      <c r="D23" s="6">
        <v>46083</v>
      </c>
      <c r="E23" s="2">
        <v>191.16</v>
      </c>
      <c r="F23" s="7">
        <v>9.2499999999999999E-2</v>
      </c>
      <c r="G23" s="2">
        <v>4</v>
      </c>
      <c r="H23" s="2">
        <v>160.74</v>
      </c>
      <c r="I23" s="15">
        <v>191.16</v>
      </c>
      <c r="J23" s="8">
        <v>2.75E-2</v>
      </c>
      <c r="K23" s="6">
        <v>46083</v>
      </c>
      <c r="L23" s="2">
        <v>49.57</v>
      </c>
      <c r="M23" s="2">
        <v>0</v>
      </c>
      <c r="N23" s="8">
        <v>-7.6700000000000004E-2</v>
      </c>
      <c r="O23" s="6">
        <v>46090</v>
      </c>
      <c r="P23" s="2">
        <v>44.54</v>
      </c>
      <c r="Q23" s="2">
        <v>7</v>
      </c>
      <c r="S23" s="26">
        <v>46017</v>
      </c>
      <c r="T23" s="24">
        <v>10917.56</v>
      </c>
      <c r="U23" s="25">
        <v>11314</v>
      </c>
      <c r="W23" s="3" t="s">
        <v>66</v>
      </c>
      <c r="X23" s="2">
        <v>1.9</v>
      </c>
      <c r="Y23" s="2"/>
      <c r="Z23" s="3" t="s">
        <v>67</v>
      </c>
      <c r="AA23" s="2">
        <v>1.2</v>
      </c>
    </row>
    <row r="24" spans="1:33" ht="18" x14ac:dyDescent="0.3">
      <c r="A24" s="3" t="s">
        <v>75</v>
      </c>
      <c r="B24" s="6">
        <v>46078</v>
      </c>
      <c r="C24" s="2">
        <v>110.8</v>
      </c>
      <c r="D24" s="6">
        <v>46097</v>
      </c>
      <c r="E24" s="2">
        <v>106.84</v>
      </c>
      <c r="F24" s="7">
        <v>-3.5700000000000003E-2</v>
      </c>
      <c r="G24" s="2">
        <v>19</v>
      </c>
      <c r="H24" s="2">
        <v>100.32</v>
      </c>
      <c r="I24" s="15">
        <v>117.49</v>
      </c>
      <c r="J24" s="8">
        <v>4.2099999999999999E-2</v>
      </c>
      <c r="K24" s="6">
        <v>46083</v>
      </c>
      <c r="L24" s="2">
        <v>27.93</v>
      </c>
      <c r="M24" s="2">
        <v>0</v>
      </c>
      <c r="N24" s="8">
        <v>-6.7599999999999993E-2</v>
      </c>
      <c r="O24" s="6">
        <v>46093</v>
      </c>
      <c r="P24" s="2">
        <v>24.99</v>
      </c>
      <c r="Q24" s="2">
        <v>10</v>
      </c>
      <c r="S24" s="26">
        <v>46024</v>
      </c>
      <c r="T24" s="24">
        <v>10804.63</v>
      </c>
      <c r="U24" s="25">
        <v>11464</v>
      </c>
      <c r="W24" s="3" t="s">
        <v>69</v>
      </c>
      <c r="X24" s="2">
        <v>2.67</v>
      </c>
      <c r="Y24" s="2"/>
      <c r="Z24" s="5" t="s">
        <v>70</v>
      </c>
      <c r="AA24" s="2">
        <v>1.8</v>
      </c>
    </row>
    <row r="25" spans="1:33" ht="18" x14ac:dyDescent="0.3">
      <c r="A25" s="3" t="s">
        <v>76</v>
      </c>
      <c r="B25" s="6">
        <v>46078</v>
      </c>
      <c r="C25" s="2">
        <v>49.37</v>
      </c>
      <c r="D25" s="6">
        <v>46087</v>
      </c>
      <c r="E25" s="2">
        <v>46.41</v>
      </c>
      <c r="F25" s="7">
        <v>-0.06</v>
      </c>
      <c r="G25" s="2">
        <v>9</v>
      </c>
      <c r="H25" s="2">
        <v>45.21</v>
      </c>
      <c r="I25" s="15">
        <v>52.81</v>
      </c>
      <c r="J25" s="8">
        <v>0.1026</v>
      </c>
      <c r="K25" s="6">
        <v>46084</v>
      </c>
      <c r="L25" s="2">
        <v>192.94</v>
      </c>
      <c r="M25" s="2">
        <v>5</v>
      </c>
      <c r="N25" s="8">
        <v>-4.7999999999999996E-3</v>
      </c>
      <c r="O25" s="6">
        <v>46079</v>
      </c>
      <c r="P25" s="2">
        <v>174.15</v>
      </c>
      <c r="Q25" s="2">
        <v>0</v>
      </c>
      <c r="S25" s="26">
        <v>46031</v>
      </c>
      <c r="T25" s="24">
        <v>10977.02</v>
      </c>
      <c r="U25" s="25">
        <v>11540</v>
      </c>
      <c r="W25" s="3" t="s">
        <v>72</v>
      </c>
      <c r="X25" s="8">
        <v>0.28100000000000003</v>
      </c>
      <c r="Z25" s="5" t="s">
        <v>73</v>
      </c>
      <c r="AA25" s="8">
        <v>0.155</v>
      </c>
      <c r="AB25" s="2"/>
    </row>
    <row r="26" spans="1:33" ht="18" x14ac:dyDescent="0.3">
      <c r="A26" s="3" t="s">
        <v>77</v>
      </c>
      <c r="B26" s="6">
        <v>46076</v>
      </c>
      <c r="C26" s="2">
        <v>131.22999999999999</v>
      </c>
      <c r="D26" s="6">
        <v>46087</v>
      </c>
      <c r="E26" s="2">
        <v>137.13</v>
      </c>
      <c r="F26" s="7">
        <v>4.4999999999999998E-2</v>
      </c>
      <c r="G26" s="2">
        <v>11</v>
      </c>
      <c r="H26" s="2">
        <v>122.17</v>
      </c>
      <c r="I26" s="15">
        <v>142.58000000000001</v>
      </c>
      <c r="J26" s="8">
        <v>5.0999999999999997E-2</v>
      </c>
      <c r="K26" s="6">
        <v>46079</v>
      </c>
      <c r="L26" s="2">
        <v>116.45</v>
      </c>
      <c r="M26" s="2">
        <v>1</v>
      </c>
      <c r="N26" s="8">
        <v>-8.3599999999999994E-2</v>
      </c>
      <c r="O26" s="6">
        <v>46090</v>
      </c>
      <c r="P26" s="2">
        <v>101.53</v>
      </c>
      <c r="Q26" s="2">
        <v>12</v>
      </c>
      <c r="S26" s="26">
        <v>46038</v>
      </c>
      <c r="T26" s="24">
        <v>10938.91</v>
      </c>
      <c r="U26" s="25">
        <v>11475</v>
      </c>
      <c r="AB26" s="2"/>
      <c r="AC26" s="2"/>
      <c r="AG26" s="2"/>
    </row>
    <row r="27" spans="1:33" ht="18" x14ac:dyDescent="0.3">
      <c r="A27" s="3" t="s">
        <v>78</v>
      </c>
      <c r="B27" s="6">
        <v>46057</v>
      </c>
      <c r="C27" s="2">
        <v>102.54</v>
      </c>
      <c r="D27" s="6">
        <v>46077</v>
      </c>
      <c r="E27" s="2">
        <v>97.48</v>
      </c>
      <c r="F27" s="7">
        <v>-4.9299999999999997E-2</v>
      </c>
      <c r="G27" s="2">
        <v>20</v>
      </c>
      <c r="H27" s="2">
        <v>92.91</v>
      </c>
      <c r="I27" s="15">
        <v>111.83</v>
      </c>
      <c r="J27" s="8">
        <v>4.0500000000000001E-2</v>
      </c>
      <c r="K27" s="6">
        <v>46079</v>
      </c>
      <c r="L27" s="2">
        <v>51.37</v>
      </c>
      <c r="M27" s="2">
        <v>1</v>
      </c>
      <c r="N27" s="8">
        <v>-9.98E-2</v>
      </c>
      <c r="O27" s="6">
        <v>46090</v>
      </c>
      <c r="P27" s="2">
        <v>44.44</v>
      </c>
      <c r="Q27" s="2">
        <v>12</v>
      </c>
      <c r="S27" s="26">
        <v>46045</v>
      </c>
      <c r="T27" s="24">
        <v>10900.48</v>
      </c>
      <c r="U27" s="25">
        <v>11211</v>
      </c>
      <c r="AB27" s="2"/>
      <c r="AC27" s="2"/>
      <c r="AG27" s="2"/>
    </row>
    <row r="28" spans="1:33" ht="18" x14ac:dyDescent="0.3">
      <c r="A28" s="3" t="s">
        <v>79</v>
      </c>
      <c r="B28" s="6">
        <v>46062</v>
      </c>
      <c r="C28" s="2">
        <v>98.64</v>
      </c>
      <c r="D28" s="6">
        <v>46066</v>
      </c>
      <c r="E28" s="2">
        <v>105.05</v>
      </c>
      <c r="F28" s="7">
        <v>6.5000000000000002E-2</v>
      </c>
      <c r="G28" s="2">
        <v>4</v>
      </c>
      <c r="H28" s="2">
        <v>90.87</v>
      </c>
      <c r="I28" s="15">
        <v>115.87</v>
      </c>
      <c r="J28" s="8">
        <v>6.2899999999999998E-2</v>
      </c>
      <c r="K28" s="6">
        <v>46086</v>
      </c>
      <c r="L28" s="2">
        <v>139.47999999999999</v>
      </c>
      <c r="M28" s="2">
        <v>10</v>
      </c>
      <c r="N28" s="8">
        <v>-6.7500000000000004E-2</v>
      </c>
      <c r="O28" s="6">
        <v>46084</v>
      </c>
      <c r="P28" s="2">
        <v>122.37</v>
      </c>
      <c r="Q28" s="2">
        <v>8</v>
      </c>
      <c r="S28" s="26">
        <v>46052</v>
      </c>
      <c r="T28" s="24">
        <v>10943.81</v>
      </c>
      <c r="U28" s="25">
        <v>11248</v>
      </c>
      <c r="AB28" s="2"/>
      <c r="AC28" s="2"/>
      <c r="AG28" s="2"/>
    </row>
    <row r="29" spans="1:33" ht="18" x14ac:dyDescent="0.3">
      <c r="A29" s="3" t="s">
        <v>80</v>
      </c>
      <c r="B29" s="6">
        <v>46059</v>
      </c>
      <c r="C29" s="2">
        <v>71.739999999999995</v>
      </c>
      <c r="D29" s="6">
        <v>46059</v>
      </c>
      <c r="E29" s="2">
        <v>74.94</v>
      </c>
      <c r="F29" s="7">
        <v>4.4600000000000001E-2</v>
      </c>
      <c r="G29" s="2">
        <v>0</v>
      </c>
      <c r="H29" s="2">
        <v>63.8</v>
      </c>
      <c r="I29" s="15">
        <v>74.94</v>
      </c>
      <c r="J29" s="8">
        <v>3.7699999999999997E-2</v>
      </c>
      <c r="K29" s="6">
        <v>46063</v>
      </c>
      <c r="L29" s="2">
        <v>106.4</v>
      </c>
      <c r="M29" s="2">
        <v>6</v>
      </c>
      <c r="N29" s="8">
        <v>-8.7499999999999994E-2</v>
      </c>
      <c r="O29" s="6">
        <v>46065</v>
      </c>
      <c r="P29" s="2">
        <v>93.57</v>
      </c>
      <c r="Q29" s="2">
        <v>8</v>
      </c>
      <c r="S29" s="26">
        <v>46059</v>
      </c>
      <c r="T29" s="24">
        <v>10922.46</v>
      </c>
      <c r="U29" s="25">
        <v>11954</v>
      </c>
      <c r="AB29" s="2"/>
      <c r="AC29" s="2"/>
      <c r="AG29" s="2"/>
    </row>
    <row r="30" spans="1:33" ht="18" x14ac:dyDescent="0.3">
      <c r="A30" s="3" t="s">
        <v>81</v>
      </c>
      <c r="B30" s="6">
        <v>46052</v>
      </c>
      <c r="C30" s="2">
        <v>87.79</v>
      </c>
      <c r="D30" s="6">
        <v>46058</v>
      </c>
      <c r="E30" s="2">
        <v>93.81</v>
      </c>
      <c r="F30" s="7">
        <v>6.8500000000000005E-2</v>
      </c>
      <c r="G30" s="2">
        <v>6</v>
      </c>
      <c r="H30" s="2">
        <v>80.760000000000005</v>
      </c>
      <c r="I30" s="15">
        <v>93.81</v>
      </c>
      <c r="J30" s="8">
        <v>0.13109999999999999</v>
      </c>
      <c r="K30" s="6">
        <v>46070</v>
      </c>
      <c r="L30" s="2">
        <v>111.57</v>
      </c>
      <c r="M30" s="2">
        <v>8</v>
      </c>
      <c r="N30" s="8">
        <v>-2.3099999999999999E-2</v>
      </c>
      <c r="O30" s="6">
        <v>46062</v>
      </c>
      <c r="P30" s="2">
        <v>96.36</v>
      </c>
      <c r="Q30" s="2">
        <v>0</v>
      </c>
      <c r="S30" s="26">
        <v>46066</v>
      </c>
      <c r="T30" s="24">
        <v>10782.18</v>
      </c>
      <c r="U30" s="25">
        <v>12086</v>
      </c>
      <c r="AB30" s="2"/>
      <c r="AC30" s="2"/>
      <c r="AG30" s="2"/>
    </row>
    <row r="31" spans="1:33" ht="18" x14ac:dyDescent="0.3">
      <c r="A31" s="3" t="s">
        <v>82</v>
      </c>
      <c r="B31" s="6">
        <v>46051</v>
      </c>
      <c r="C31" s="2">
        <v>119.73</v>
      </c>
      <c r="D31" s="6">
        <v>46064</v>
      </c>
      <c r="E31" s="2">
        <v>125.12</v>
      </c>
      <c r="F31" s="7">
        <v>4.4999999999999998E-2</v>
      </c>
      <c r="G31" s="2">
        <v>13</v>
      </c>
      <c r="H31" s="2">
        <v>109.57</v>
      </c>
      <c r="I31" s="15">
        <v>133.5</v>
      </c>
      <c r="J31" s="8">
        <v>9.3600000000000003E-2</v>
      </c>
      <c r="K31" s="6">
        <v>46062</v>
      </c>
      <c r="L31" s="2">
        <v>78.459999999999994</v>
      </c>
      <c r="M31" s="2">
        <v>3</v>
      </c>
      <c r="N31" s="8">
        <v>-1.24E-2</v>
      </c>
      <c r="O31" s="6">
        <v>46059</v>
      </c>
      <c r="P31" s="2">
        <v>70.849999999999994</v>
      </c>
      <c r="Q31" s="2">
        <v>0</v>
      </c>
      <c r="S31" s="26">
        <v>46073</v>
      </c>
      <c r="T31" s="24">
        <v>10903.64</v>
      </c>
      <c r="U31" s="25">
        <v>12086</v>
      </c>
      <c r="AB31" s="2"/>
      <c r="AC31" s="2"/>
      <c r="AG31" s="2"/>
    </row>
    <row r="32" spans="1:33" ht="18" x14ac:dyDescent="0.3">
      <c r="A32" s="3" t="s">
        <v>83</v>
      </c>
      <c r="B32" s="6">
        <v>46045</v>
      </c>
      <c r="C32" s="2">
        <v>77.17</v>
      </c>
      <c r="D32" s="6">
        <v>46056</v>
      </c>
      <c r="E32" s="2">
        <v>82.26</v>
      </c>
      <c r="F32" s="7">
        <v>6.59E-2</v>
      </c>
      <c r="G32" s="2">
        <v>11</v>
      </c>
      <c r="H32" s="2">
        <v>71.33</v>
      </c>
      <c r="I32" s="15">
        <v>82.26</v>
      </c>
      <c r="J32" s="8">
        <v>9.1499999999999998E-2</v>
      </c>
      <c r="K32" s="6">
        <v>46059</v>
      </c>
      <c r="L32" s="2">
        <v>95.83</v>
      </c>
      <c r="M32" s="2">
        <v>7</v>
      </c>
      <c r="N32" s="8">
        <v>-1.67E-2</v>
      </c>
      <c r="O32" s="6">
        <v>46056</v>
      </c>
      <c r="P32" s="2">
        <v>86.32</v>
      </c>
      <c r="Q32" s="2">
        <v>4</v>
      </c>
      <c r="S32" s="26">
        <v>46080</v>
      </c>
      <c r="T32" s="24">
        <v>10849.23</v>
      </c>
      <c r="U32" s="25">
        <v>11947</v>
      </c>
      <c r="AB32" s="2"/>
      <c r="AC32" s="2"/>
      <c r="AG32" s="2"/>
    </row>
    <row r="33" spans="1:33" ht="18" x14ac:dyDescent="0.3">
      <c r="A33" s="3" t="s">
        <v>84</v>
      </c>
      <c r="B33" s="6">
        <v>46042</v>
      </c>
      <c r="C33" s="2">
        <v>161.51</v>
      </c>
      <c r="D33" s="6">
        <v>46048</v>
      </c>
      <c r="E33" s="2">
        <v>172.01</v>
      </c>
      <c r="F33" s="7">
        <v>6.5000000000000002E-2</v>
      </c>
      <c r="G33" s="2">
        <v>6</v>
      </c>
      <c r="H33" s="2">
        <v>151.27000000000001</v>
      </c>
      <c r="I33" s="15">
        <v>180.47</v>
      </c>
      <c r="J33" s="8">
        <v>7.9799999999999996E-2</v>
      </c>
      <c r="K33" s="6">
        <v>46065</v>
      </c>
      <c r="L33" s="2">
        <v>129.29</v>
      </c>
      <c r="M33" s="2">
        <v>14</v>
      </c>
      <c r="N33" s="8">
        <v>-3.1E-2</v>
      </c>
      <c r="O33" s="6">
        <v>46052</v>
      </c>
      <c r="P33" s="2">
        <v>116.02</v>
      </c>
      <c r="Q33" s="2">
        <v>1</v>
      </c>
      <c r="S33" s="26">
        <v>46087</v>
      </c>
      <c r="T33" s="24">
        <v>10633.99</v>
      </c>
      <c r="U33" s="25">
        <v>12393</v>
      </c>
      <c r="AB33" s="2"/>
      <c r="AC33" s="2"/>
      <c r="AG33" s="2"/>
    </row>
    <row r="34" spans="1:33" ht="18" x14ac:dyDescent="0.3">
      <c r="A34" s="3" t="s">
        <v>85</v>
      </c>
      <c r="B34" s="6">
        <v>46042</v>
      </c>
      <c r="C34" s="2">
        <v>27.64</v>
      </c>
      <c r="D34" s="6">
        <v>46050</v>
      </c>
      <c r="E34" s="2">
        <v>29.44</v>
      </c>
      <c r="F34" s="7">
        <v>6.5000000000000002E-2</v>
      </c>
      <c r="G34" s="2">
        <v>8</v>
      </c>
      <c r="H34" s="2">
        <v>26.32</v>
      </c>
      <c r="I34" s="15">
        <v>31.24</v>
      </c>
      <c r="J34" s="8">
        <v>7.6600000000000001E-2</v>
      </c>
      <c r="K34" s="6">
        <v>46057</v>
      </c>
      <c r="L34" s="2">
        <v>83.08</v>
      </c>
      <c r="M34" s="2">
        <v>12</v>
      </c>
      <c r="N34" s="8">
        <v>-3.32E-2</v>
      </c>
      <c r="O34" s="6">
        <v>46055</v>
      </c>
      <c r="P34" s="2">
        <v>74.61</v>
      </c>
      <c r="Q34" s="2">
        <v>10</v>
      </c>
      <c r="S34" s="26">
        <v>46094</v>
      </c>
      <c r="T34" s="24">
        <v>10474.41</v>
      </c>
      <c r="U34" s="25">
        <v>12122</v>
      </c>
      <c r="AB34" s="2"/>
      <c r="AC34" s="2"/>
      <c r="AG34" s="2"/>
    </row>
    <row r="35" spans="1:33" ht="18" x14ac:dyDescent="0.3">
      <c r="A35" s="3" t="s">
        <v>86</v>
      </c>
      <c r="B35" s="6">
        <v>46036</v>
      </c>
      <c r="C35" s="2">
        <v>228.45</v>
      </c>
      <c r="D35" s="6">
        <v>46056</v>
      </c>
      <c r="E35" s="2">
        <v>221.54</v>
      </c>
      <c r="F35" s="7">
        <v>-3.0300000000000001E-2</v>
      </c>
      <c r="G35" s="2">
        <v>20</v>
      </c>
      <c r="H35" s="2">
        <v>211.18</v>
      </c>
      <c r="I35" s="15">
        <v>248.42</v>
      </c>
      <c r="J35" s="8">
        <v>9.06E-2</v>
      </c>
      <c r="K35" s="6">
        <v>46049</v>
      </c>
      <c r="L35" s="2">
        <v>176.14</v>
      </c>
      <c r="M35" s="2">
        <v>7</v>
      </c>
      <c r="N35" s="8">
        <v>-7.1000000000000004E-3</v>
      </c>
      <c r="O35" s="6">
        <v>46042</v>
      </c>
      <c r="P35" s="2">
        <v>160.36000000000001</v>
      </c>
      <c r="Q35" s="2">
        <v>0</v>
      </c>
      <c r="S35" s="26">
        <v>46101</v>
      </c>
      <c r="T35" s="24">
        <v>10285.43</v>
      </c>
      <c r="U35" s="25">
        <v>11954</v>
      </c>
      <c r="AB35" s="2"/>
      <c r="AC35" s="2"/>
      <c r="AG35" s="2"/>
    </row>
    <row r="36" spans="1:33" ht="18" x14ac:dyDescent="0.3">
      <c r="A36" s="3" t="s">
        <v>87</v>
      </c>
      <c r="B36" s="6">
        <v>46036</v>
      </c>
      <c r="C36" s="2">
        <v>76.78</v>
      </c>
      <c r="D36" s="6">
        <v>46056</v>
      </c>
      <c r="E36" s="2">
        <v>73.3</v>
      </c>
      <c r="F36" s="7">
        <v>-4.53E-2</v>
      </c>
      <c r="G36" s="2">
        <v>20</v>
      </c>
      <c r="H36" s="2">
        <v>71.23</v>
      </c>
      <c r="I36" s="15">
        <v>85.68</v>
      </c>
      <c r="J36" s="8">
        <v>0.12529999999999999</v>
      </c>
      <c r="K36" s="6">
        <v>46051</v>
      </c>
      <c r="L36" s="2">
        <v>31.1</v>
      </c>
      <c r="M36" s="2">
        <v>9</v>
      </c>
      <c r="N36" s="8">
        <v>-6.4000000000000003E-3</v>
      </c>
      <c r="O36" s="6">
        <v>46042</v>
      </c>
      <c r="P36" s="2">
        <v>27.46</v>
      </c>
      <c r="Q36" s="2">
        <v>0</v>
      </c>
      <c r="S36" s="26">
        <v>46108</v>
      </c>
      <c r="T36" s="24">
        <v>10055.799999999999</v>
      </c>
      <c r="U36" s="25">
        <v>11954</v>
      </c>
      <c r="AB36" s="2"/>
      <c r="AC36" s="2"/>
      <c r="AG36" s="2"/>
    </row>
    <row r="37" spans="1:33" ht="18" x14ac:dyDescent="0.3">
      <c r="A37" s="3" t="s">
        <v>88</v>
      </c>
      <c r="B37" s="6">
        <v>46035</v>
      </c>
      <c r="C37" s="2">
        <v>196.43</v>
      </c>
      <c r="D37" s="6">
        <v>46055</v>
      </c>
      <c r="E37" s="2">
        <v>198.94</v>
      </c>
      <c r="F37" s="7">
        <v>1.2800000000000001E-2</v>
      </c>
      <c r="G37" s="2">
        <v>20</v>
      </c>
      <c r="H37" s="2">
        <v>181.72</v>
      </c>
      <c r="I37" s="15">
        <v>211.77</v>
      </c>
      <c r="J37" s="8">
        <v>5.67E-2</v>
      </c>
      <c r="K37" s="6">
        <v>46038</v>
      </c>
      <c r="L37" s="2">
        <v>241.4</v>
      </c>
      <c r="M37" s="2">
        <v>2</v>
      </c>
      <c r="N37" s="8">
        <v>-6.83E-2</v>
      </c>
      <c r="O37" s="6">
        <v>46049</v>
      </c>
      <c r="P37" s="2">
        <v>212.84</v>
      </c>
      <c r="Q37" s="2">
        <v>13</v>
      </c>
      <c r="S37" s="26">
        <v>46115</v>
      </c>
      <c r="T37" s="24">
        <v>10400.57</v>
      </c>
      <c r="U37" s="25">
        <v>12554</v>
      </c>
      <c r="AB37" s="2"/>
      <c r="AC37" s="2"/>
      <c r="AG37" s="2"/>
    </row>
    <row r="38" spans="1:33" ht="18" x14ac:dyDescent="0.3">
      <c r="A38" s="3" t="s">
        <v>89</v>
      </c>
      <c r="B38" s="6">
        <v>46031</v>
      </c>
      <c r="C38" s="2">
        <v>631.62</v>
      </c>
      <c r="D38" s="6">
        <v>46037</v>
      </c>
      <c r="E38" s="2">
        <v>679.51</v>
      </c>
      <c r="F38" s="7">
        <v>7.5800000000000006E-2</v>
      </c>
      <c r="G38" s="2">
        <v>6</v>
      </c>
      <c r="H38" s="2">
        <v>577.48</v>
      </c>
      <c r="I38" s="15">
        <v>679.51</v>
      </c>
      <c r="J38" s="8">
        <v>5.7200000000000001E-2</v>
      </c>
      <c r="K38" s="6">
        <v>46038</v>
      </c>
      <c r="L38" s="2">
        <v>81.180000000000007</v>
      </c>
      <c r="M38" s="2">
        <v>2</v>
      </c>
      <c r="N38" s="8">
        <v>-7.17E-2</v>
      </c>
      <c r="O38" s="6">
        <v>46052</v>
      </c>
      <c r="P38" s="2">
        <v>71.28</v>
      </c>
      <c r="Q38" s="2">
        <v>16</v>
      </c>
      <c r="S38" s="26">
        <v>46122</v>
      </c>
      <c r="T38" s="24">
        <v>10775.31</v>
      </c>
      <c r="U38" s="25">
        <v>12670</v>
      </c>
      <c r="AB38" s="2"/>
      <c r="AC38" s="2"/>
      <c r="AG38" s="2"/>
    </row>
    <row r="39" spans="1:33" ht="18" x14ac:dyDescent="0.3">
      <c r="A39" s="3" t="s">
        <v>90</v>
      </c>
      <c r="B39" s="6">
        <v>46031</v>
      </c>
      <c r="C39" s="2">
        <v>248.02</v>
      </c>
      <c r="D39" s="6">
        <v>46050</v>
      </c>
      <c r="E39" s="2">
        <v>230.66</v>
      </c>
      <c r="F39" s="7">
        <v>-7.0000000000000007E-2</v>
      </c>
      <c r="G39" s="2">
        <v>19</v>
      </c>
      <c r="H39" s="2">
        <v>226.56</v>
      </c>
      <c r="I39" s="15">
        <v>269.24</v>
      </c>
      <c r="J39" s="8">
        <v>7.5899999999999995E-2</v>
      </c>
      <c r="K39" s="6">
        <v>46037</v>
      </c>
      <c r="L39" s="2">
        <v>211.34</v>
      </c>
      <c r="M39" s="2">
        <v>2</v>
      </c>
      <c r="N39" s="8">
        <v>-2.76E-2</v>
      </c>
      <c r="O39" s="6">
        <v>46051</v>
      </c>
      <c r="P39" s="2">
        <v>191</v>
      </c>
      <c r="Q39" s="2">
        <v>16</v>
      </c>
      <c r="S39" s="26">
        <v>46129</v>
      </c>
      <c r="T39" s="24">
        <v>11261.85</v>
      </c>
      <c r="U39" s="25">
        <v>12753</v>
      </c>
      <c r="AB39" s="2"/>
      <c r="AC39" s="2"/>
      <c r="AG39" s="2"/>
    </row>
    <row r="40" spans="1:33" ht="18" x14ac:dyDescent="0.3">
      <c r="A40" s="3" t="s">
        <v>91</v>
      </c>
      <c r="B40" s="6">
        <v>46030</v>
      </c>
      <c r="C40" s="2">
        <v>22.09</v>
      </c>
      <c r="D40" s="6">
        <v>46038</v>
      </c>
      <c r="E40" s="2">
        <v>20.77</v>
      </c>
      <c r="F40" s="7">
        <v>-0.06</v>
      </c>
      <c r="G40" s="2">
        <v>8</v>
      </c>
      <c r="H40" s="2">
        <v>20.440000000000001</v>
      </c>
      <c r="I40" s="15">
        <v>24.41</v>
      </c>
      <c r="J40" s="8">
        <v>9.5200000000000007E-2</v>
      </c>
      <c r="K40" s="6">
        <v>46038</v>
      </c>
      <c r="L40" s="2">
        <v>691.73</v>
      </c>
      <c r="M40" s="2">
        <v>7</v>
      </c>
      <c r="N40" s="8">
        <v>-2.41E-2</v>
      </c>
      <c r="O40" s="6">
        <v>46034</v>
      </c>
      <c r="P40" s="2">
        <v>616.41999999999996</v>
      </c>
      <c r="Q40" s="2">
        <v>3</v>
      </c>
      <c r="S40" s="26">
        <v>46136</v>
      </c>
      <c r="T40" s="24">
        <v>11322.11</v>
      </c>
      <c r="U40" s="25">
        <v>12894</v>
      </c>
      <c r="AB40" s="2"/>
      <c r="AC40" s="2"/>
      <c r="AG40" s="2"/>
    </row>
    <row r="41" spans="1:33" ht="18" x14ac:dyDescent="0.3">
      <c r="A41" s="3" t="s">
        <v>92</v>
      </c>
      <c r="B41" s="6">
        <v>46030</v>
      </c>
      <c r="C41" s="2">
        <v>33.909999999999997</v>
      </c>
      <c r="D41" s="6">
        <v>46050</v>
      </c>
      <c r="E41" s="2">
        <v>32.75</v>
      </c>
      <c r="F41" s="7">
        <v>-3.4200000000000001E-2</v>
      </c>
      <c r="G41" s="2">
        <v>20</v>
      </c>
      <c r="H41" s="2">
        <v>31.39</v>
      </c>
      <c r="I41" s="15">
        <v>37.450000000000003</v>
      </c>
      <c r="J41" s="8">
        <v>1.8100000000000002E-2</v>
      </c>
      <c r="K41" s="6">
        <v>46037</v>
      </c>
      <c r="L41" s="2">
        <v>252.52</v>
      </c>
      <c r="M41" s="2">
        <v>6</v>
      </c>
      <c r="N41" s="8">
        <v>-0.13719999999999999</v>
      </c>
      <c r="O41" s="6">
        <v>46051</v>
      </c>
      <c r="P41" s="2">
        <v>214</v>
      </c>
      <c r="Q41" s="2">
        <v>20</v>
      </c>
      <c r="S41" s="26">
        <v>46143</v>
      </c>
      <c r="T41" s="24">
        <v>11428.52</v>
      </c>
      <c r="U41" s="25">
        <v>13030</v>
      </c>
      <c r="AB41" s="2"/>
      <c r="AC41" s="2"/>
      <c r="AG41" s="2"/>
    </row>
    <row r="42" spans="1:33" ht="18" x14ac:dyDescent="0.3">
      <c r="A42" s="3" t="s">
        <v>93</v>
      </c>
      <c r="B42" s="6">
        <v>46027</v>
      </c>
      <c r="C42" s="2">
        <v>447.99</v>
      </c>
      <c r="D42" s="6">
        <v>46045</v>
      </c>
      <c r="E42" s="2">
        <v>449.06</v>
      </c>
      <c r="F42" s="7">
        <v>2.3999999999999998E-3</v>
      </c>
      <c r="G42" s="2">
        <v>18</v>
      </c>
      <c r="H42" s="2">
        <v>403.02</v>
      </c>
      <c r="I42" s="15">
        <v>473.55</v>
      </c>
      <c r="J42" s="8">
        <v>1.8599999999999998E-2</v>
      </c>
      <c r="K42" s="6">
        <v>46035</v>
      </c>
      <c r="L42" s="2">
        <v>22.5</v>
      </c>
      <c r="M42" s="2">
        <v>5</v>
      </c>
      <c r="N42" s="8">
        <v>-9.98E-2</v>
      </c>
      <c r="O42" s="6">
        <v>46042</v>
      </c>
      <c r="P42" s="2">
        <v>19.89</v>
      </c>
      <c r="Q42" s="2">
        <v>12</v>
      </c>
      <c r="S42" s="26">
        <v>46150</v>
      </c>
      <c r="T42" s="24">
        <v>11697.65</v>
      </c>
      <c r="U42" s="25">
        <v>13329</v>
      </c>
      <c r="AB42" s="2"/>
      <c r="AC42" s="2"/>
      <c r="AG42" s="2"/>
    </row>
    <row r="43" spans="1:33" ht="18" x14ac:dyDescent="0.3">
      <c r="A43" s="3" t="s">
        <v>94</v>
      </c>
      <c r="B43" s="6">
        <v>46028</v>
      </c>
      <c r="C43" s="2">
        <v>175.76</v>
      </c>
      <c r="D43" s="6">
        <v>46048</v>
      </c>
      <c r="E43" s="2">
        <v>167.47</v>
      </c>
      <c r="F43" s="7">
        <v>-4.7199999999999999E-2</v>
      </c>
      <c r="G43" s="2">
        <v>20</v>
      </c>
      <c r="H43" s="2">
        <v>160.12</v>
      </c>
      <c r="I43" s="15">
        <v>188.04</v>
      </c>
      <c r="J43" s="8">
        <v>6.25E-2</v>
      </c>
      <c r="K43" s="6">
        <v>46030</v>
      </c>
      <c r="L43" s="2">
        <v>36.03</v>
      </c>
      <c r="M43" s="2">
        <v>0</v>
      </c>
      <c r="N43" s="8">
        <v>-5.2200000000000003E-2</v>
      </c>
      <c r="O43" s="6">
        <v>46051</v>
      </c>
      <c r="P43" s="2">
        <v>32.14</v>
      </c>
      <c r="Q43" s="2">
        <v>21</v>
      </c>
      <c r="S43" s="26">
        <v>46157</v>
      </c>
      <c r="T43" s="24">
        <v>11722.23</v>
      </c>
      <c r="U43" s="25">
        <v>13286</v>
      </c>
      <c r="AB43" s="2"/>
      <c r="AC43" s="2"/>
      <c r="AG43" s="2"/>
    </row>
    <row r="44" spans="1:33" ht="18" x14ac:dyDescent="0.3">
      <c r="A44" s="3" t="s">
        <v>95</v>
      </c>
      <c r="B44" s="6">
        <v>46028</v>
      </c>
      <c r="C44" s="2">
        <v>629.94000000000005</v>
      </c>
      <c r="D44" s="6">
        <v>46034</v>
      </c>
      <c r="E44" s="2">
        <v>670.89</v>
      </c>
      <c r="F44" s="7">
        <v>6.5000000000000002E-2</v>
      </c>
      <c r="G44" s="2">
        <v>6</v>
      </c>
      <c r="H44" s="2">
        <v>582.28</v>
      </c>
      <c r="I44" s="15">
        <v>706.04</v>
      </c>
      <c r="J44" s="8">
        <v>2.1299999999999999E-2</v>
      </c>
      <c r="K44" s="6">
        <v>46027</v>
      </c>
      <c r="L44" s="2">
        <v>457.55</v>
      </c>
      <c r="M44" s="2">
        <v>0</v>
      </c>
      <c r="N44" s="8">
        <v>-6.8199999999999997E-2</v>
      </c>
      <c r="O44" s="6">
        <v>46042</v>
      </c>
      <c r="P44" s="2">
        <v>417.44</v>
      </c>
      <c r="Q44" s="2">
        <v>15</v>
      </c>
      <c r="S44" s="26">
        <v>46164</v>
      </c>
      <c r="T44" s="24">
        <v>11824.83</v>
      </c>
      <c r="U44" s="25">
        <v>13428</v>
      </c>
      <c r="AB44" s="2"/>
      <c r="AC44" s="2"/>
      <c r="AG44" s="2"/>
    </row>
    <row r="45" spans="1:33" ht="18" x14ac:dyDescent="0.3">
      <c r="A45" s="3" t="s">
        <v>96</v>
      </c>
      <c r="B45" s="6">
        <v>46024</v>
      </c>
      <c r="C45" s="2">
        <v>61.44</v>
      </c>
      <c r="D45" s="6">
        <v>46035</v>
      </c>
      <c r="E45" s="2">
        <v>65.91</v>
      </c>
      <c r="F45" s="7">
        <v>7.2700000000000001E-2</v>
      </c>
      <c r="G45" s="2">
        <v>11</v>
      </c>
      <c r="H45" s="2">
        <v>55.59</v>
      </c>
      <c r="I45" s="15">
        <v>65.91</v>
      </c>
      <c r="J45" s="8">
        <v>6.5500000000000003E-2</v>
      </c>
      <c r="K45" s="6">
        <v>46029</v>
      </c>
      <c r="L45" s="2">
        <v>187.28</v>
      </c>
      <c r="M45" s="2">
        <v>1</v>
      </c>
      <c r="N45" s="8">
        <v>-8.3400000000000002E-2</v>
      </c>
      <c r="O45" s="6">
        <v>46043</v>
      </c>
      <c r="P45" s="2">
        <v>161.11000000000001</v>
      </c>
      <c r="Q45" s="2">
        <v>15</v>
      </c>
      <c r="S45" s="26">
        <v>46171</v>
      </c>
      <c r="T45" s="24">
        <v>11996.74</v>
      </c>
      <c r="U45" s="25">
        <v>13543</v>
      </c>
      <c r="AB45" s="2"/>
      <c r="AC45" s="2"/>
      <c r="AG45" s="2"/>
    </row>
    <row r="46" spans="1:33" ht="18" x14ac:dyDescent="0.3">
      <c r="A46" s="3" t="s">
        <v>97</v>
      </c>
      <c r="B46" s="6">
        <v>46020</v>
      </c>
      <c r="C46" s="2">
        <v>116.89</v>
      </c>
      <c r="D46" s="6">
        <v>46037</v>
      </c>
      <c r="E46" s="2">
        <v>108.71</v>
      </c>
      <c r="F46" s="7">
        <v>-7.0000000000000007E-2</v>
      </c>
      <c r="G46" s="2">
        <v>17</v>
      </c>
      <c r="H46" s="2">
        <v>108.68</v>
      </c>
      <c r="I46" s="15">
        <v>127.56</v>
      </c>
      <c r="J46" s="8">
        <v>7.9000000000000001E-2</v>
      </c>
      <c r="K46" s="6">
        <v>46035</v>
      </c>
      <c r="L46" s="2">
        <v>679.69</v>
      </c>
      <c r="M46" s="2">
        <v>7</v>
      </c>
      <c r="N46" s="8">
        <v>-5.4699999999999999E-2</v>
      </c>
      <c r="O46" s="6">
        <v>46028</v>
      </c>
      <c r="P46" s="2">
        <v>595.51</v>
      </c>
      <c r="Q46" s="2">
        <v>0</v>
      </c>
      <c r="S46" s="26">
        <v>46178</v>
      </c>
      <c r="T46" s="24">
        <v>11696.54</v>
      </c>
      <c r="U46" s="25">
        <v>13690</v>
      </c>
      <c r="AB46" s="2"/>
      <c r="AC46" s="2"/>
      <c r="AG46" s="2"/>
    </row>
    <row r="47" spans="1:33" ht="18" x14ac:dyDescent="0.3">
      <c r="A47" s="3" t="s">
        <v>98</v>
      </c>
      <c r="B47" s="6">
        <v>46020</v>
      </c>
      <c r="C47" s="2">
        <v>23.82</v>
      </c>
      <c r="D47" s="6">
        <v>46034</v>
      </c>
      <c r="E47" s="2">
        <v>25.23</v>
      </c>
      <c r="F47" s="7">
        <v>5.91E-2</v>
      </c>
      <c r="G47" s="2">
        <v>14</v>
      </c>
      <c r="H47" s="2">
        <v>21.74</v>
      </c>
      <c r="I47" s="15">
        <v>25.23</v>
      </c>
      <c r="J47" s="8">
        <v>7.7299999999999994E-2</v>
      </c>
      <c r="K47" s="6">
        <v>46036</v>
      </c>
      <c r="L47" s="2">
        <v>66.19</v>
      </c>
      <c r="M47" s="2">
        <v>12</v>
      </c>
      <c r="N47" s="8">
        <v>-4.0500000000000001E-2</v>
      </c>
      <c r="O47" s="6">
        <v>46028</v>
      </c>
      <c r="P47" s="2">
        <v>58.95</v>
      </c>
      <c r="Q47" s="2">
        <v>4</v>
      </c>
      <c r="S47" s="26">
        <v>46185</v>
      </c>
      <c r="T47" s="24">
        <v>11763.14</v>
      </c>
      <c r="U47" s="25">
        <v>13715</v>
      </c>
      <c r="AB47" s="2"/>
      <c r="AC47" s="2"/>
      <c r="AG47" s="2"/>
    </row>
    <row r="48" spans="1:33" ht="18" x14ac:dyDescent="0.3">
      <c r="A48" s="3" t="s">
        <v>99</v>
      </c>
      <c r="B48" s="6">
        <v>46015</v>
      </c>
      <c r="C48" s="2">
        <v>35.17</v>
      </c>
      <c r="D48" s="6">
        <v>46022</v>
      </c>
      <c r="E48" s="2">
        <v>39.67</v>
      </c>
      <c r="F48" s="7">
        <v>0.12809999999999999</v>
      </c>
      <c r="G48" s="2">
        <v>7</v>
      </c>
      <c r="H48" s="2">
        <v>33.44</v>
      </c>
      <c r="I48" s="15">
        <v>39.67</v>
      </c>
      <c r="J48" s="8">
        <v>6.3799999999999996E-2</v>
      </c>
      <c r="K48" s="6">
        <v>46028</v>
      </c>
      <c r="L48" s="2">
        <v>124.35</v>
      </c>
      <c r="M48" s="2">
        <v>8</v>
      </c>
      <c r="N48" s="8">
        <v>-8.5599999999999996E-2</v>
      </c>
      <c r="O48" s="6">
        <v>46038</v>
      </c>
      <c r="P48" s="2">
        <v>106.88</v>
      </c>
      <c r="Q48" s="2">
        <v>18</v>
      </c>
      <c r="S48" s="26">
        <v>46192</v>
      </c>
      <c r="T48" s="24">
        <v>11872.78</v>
      </c>
      <c r="U48" s="25">
        <v>13800</v>
      </c>
      <c r="AB48" s="2"/>
      <c r="AC48" s="2"/>
      <c r="AG48" s="2"/>
    </row>
    <row r="49" spans="1:36" ht="18" x14ac:dyDescent="0.3">
      <c r="A49" s="3" t="s">
        <v>100</v>
      </c>
      <c r="B49" s="6">
        <v>46013</v>
      </c>
      <c r="C49" s="2">
        <v>86.45</v>
      </c>
      <c r="D49" s="6">
        <v>46024</v>
      </c>
      <c r="E49" s="2">
        <v>90.08</v>
      </c>
      <c r="F49" s="7">
        <v>4.2000000000000003E-2</v>
      </c>
      <c r="G49" s="2">
        <v>11</v>
      </c>
      <c r="H49" s="2">
        <v>77.25</v>
      </c>
      <c r="I49" s="15">
        <v>90.08</v>
      </c>
      <c r="J49" s="8">
        <v>7.7899999999999997E-2</v>
      </c>
      <c r="K49" s="6">
        <v>46035</v>
      </c>
      <c r="L49" s="2">
        <v>25.68</v>
      </c>
      <c r="M49" s="2">
        <v>15</v>
      </c>
      <c r="N49" s="8">
        <v>-4.6300000000000001E-2</v>
      </c>
      <c r="O49" s="6">
        <v>46029</v>
      </c>
      <c r="P49" s="2">
        <v>22.72</v>
      </c>
      <c r="Q49" s="2">
        <v>9</v>
      </c>
      <c r="S49" s="26">
        <v>46199</v>
      </c>
      <c r="T49" s="24">
        <v>11590.57</v>
      </c>
      <c r="U49" s="25">
        <v>13800</v>
      </c>
      <c r="AB49" s="2"/>
      <c r="AC49" s="2"/>
      <c r="AG49" s="2"/>
    </row>
    <row r="50" spans="1:36" ht="18" x14ac:dyDescent="0.3">
      <c r="A50" s="3" t="s">
        <v>98</v>
      </c>
      <c r="B50" s="6">
        <v>46013</v>
      </c>
      <c r="C50" s="2">
        <v>23.94</v>
      </c>
      <c r="D50" s="6">
        <v>46029</v>
      </c>
      <c r="E50" s="2">
        <v>25.02</v>
      </c>
      <c r="F50" s="7">
        <v>4.4999999999999998E-2</v>
      </c>
      <c r="G50" s="2">
        <v>16</v>
      </c>
      <c r="H50" s="2">
        <v>21.68</v>
      </c>
      <c r="I50" s="15">
        <v>25.22</v>
      </c>
      <c r="J50" s="8">
        <v>0.13339999999999999</v>
      </c>
      <c r="K50" s="6">
        <v>46024</v>
      </c>
      <c r="L50" s="2">
        <v>39.86</v>
      </c>
      <c r="M50" s="2">
        <v>9</v>
      </c>
      <c r="N50" s="8">
        <v>-6.3E-3</v>
      </c>
      <c r="O50" s="6">
        <v>46015</v>
      </c>
      <c r="P50" s="2">
        <v>34.950000000000003</v>
      </c>
      <c r="Q50" s="2">
        <v>0</v>
      </c>
      <c r="S50" s="26">
        <v>46206</v>
      </c>
      <c r="T50" s="24">
        <v>11841.62</v>
      </c>
      <c r="U50" s="25">
        <v>13916</v>
      </c>
      <c r="AB50" s="2"/>
      <c r="AC50" s="2"/>
      <c r="AG50" s="2"/>
    </row>
    <row r="51" spans="1:36" ht="18" x14ac:dyDescent="0.3">
      <c r="A51" s="3" t="s">
        <v>101</v>
      </c>
      <c r="B51" s="6">
        <v>46006</v>
      </c>
      <c r="C51" s="2">
        <v>186.72</v>
      </c>
      <c r="D51" s="6">
        <v>46027</v>
      </c>
      <c r="E51" s="2">
        <v>183.45</v>
      </c>
      <c r="F51" s="7">
        <v>-1.7500000000000002E-2</v>
      </c>
      <c r="G51" s="2">
        <v>21</v>
      </c>
      <c r="H51" s="2">
        <v>170.6</v>
      </c>
      <c r="I51" s="15">
        <v>201.67</v>
      </c>
      <c r="J51" s="8">
        <v>8.5400000000000004E-2</v>
      </c>
      <c r="K51" s="6">
        <v>46027</v>
      </c>
      <c r="L51" s="2">
        <v>93.83</v>
      </c>
      <c r="M51" s="2">
        <v>14</v>
      </c>
      <c r="N51" s="8">
        <v>-2.75E-2</v>
      </c>
      <c r="O51" s="6">
        <v>46020</v>
      </c>
      <c r="P51" s="2">
        <v>84.08</v>
      </c>
      <c r="Q51" s="2">
        <v>7</v>
      </c>
      <c r="S51" s="26">
        <v>46213</v>
      </c>
      <c r="T51" s="24">
        <v>12003.32</v>
      </c>
      <c r="U51" s="25">
        <v>14055</v>
      </c>
      <c r="AB51" s="2"/>
      <c r="AC51" s="2"/>
      <c r="AG51" s="2"/>
    </row>
    <row r="52" spans="1:36" ht="18" x14ac:dyDescent="0.3">
      <c r="A52" s="3" t="s">
        <v>102</v>
      </c>
      <c r="B52" s="6">
        <v>46001</v>
      </c>
      <c r="C52" s="2">
        <v>311.72000000000003</v>
      </c>
      <c r="D52" s="6">
        <v>46014</v>
      </c>
      <c r="E52" s="2">
        <v>325.75</v>
      </c>
      <c r="F52" s="7">
        <v>4.4999999999999998E-2</v>
      </c>
      <c r="G52" s="2">
        <v>13</v>
      </c>
      <c r="H52" s="2">
        <v>284.61</v>
      </c>
      <c r="I52" s="15">
        <v>337.9</v>
      </c>
      <c r="J52" s="8">
        <v>5.3100000000000001E-2</v>
      </c>
      <c r="K52" s="6">
        <v>46027</v>
      </c>
      <c r="L52" s="2">
        <v>25.21</v>
      </c>
      <c r="M52" s="2">
        <v>14</v>
      </c>
      <c r="N52" s="8">
        <v>-5.0999999999999997E-2</v>
      </c>
      <c r="O52" s="6">
        <v>46029</v>
      </c>
      <c r="P52" s="2">
        <v>22.72</v>
      </c>
      <c r="Q52" s="2">
        <v>16</v>
      </c>
      <c r="S52" s="26">
        <v>46220</v>
      </c>
      <c r="T52" s="24">
        <v>11817.93</v>
      </c>
      <c r="U52" s="25">
        <v>14055</v>
      </c>
      <c r="AB52" s="2"/>
      <c r="AC52" s="2"/>
      <c r="AG52" s="2"/>
    </row>
    <row r="53" spans="1:36" ht="18" x14ac:dyDescent="0.3">
      <c r="A53" s="3" t="s">
        <v>103</v>
      </c>
      <c r="B53" s="6">
        <v>45996</v>
      </c>
      <c r="C53" s="2">
        <v>336.76</v>
      </c>
      <c r="D53" s="6">
        <v>46015</v>
      </c>
      <c r="E53" s="2">
        <v>338.62</v>
      </c>
      <c r="F53" s="7">
        <v>5.4999999999999997E-3</v>
      </c>
      <c r="G53" s="2">
        <v>19</v>
      </c>
      <c r="H53" s="2">
        <v>309.38</v>
      </c>
      <c r="I53" s="15">
        <v>366.81</v>
      </c>
      <c r="J53" s="8">
        <v>2.7400000000000001E-2</v>
      </c>
      <c r="K53" s="6">
        <v>46007</v>
      </c>
      <c r="L53" s="2">
        <v>191.84</v>
      </c>
      <c r="M53" s="2">
        <v>1</v>
      </c>
      <c r="N53" s="8">
        <v>-3.2500000000000001E-2</v>
      </c>
      <c r="O53" s="6">
        <v>46027</v>
      </c>
      <c r="P53" s="2">
        <v>180.65</v>
      </c>
      <c r="Q53" s="2">
        <v>21</v>
      </c>
      <c r="S53" s="26">
        <v>46227</v>
      </c>
      <c r="T53" s="24">
        <v>11748.61</v>
      </c>
      <c r="U53" s="25">
        <v>14055</v>
      </c>
      <c r="AB53" s="2"/>
      <c r="AC53" s="2"/>
      <c r="AG53" s="2"/>
    </row>
    <row r="54" spans="1:36" ht="18" x14ac:dyDescent="0.3">
      <c r="A54" s="3" t="s">
        <v>104</v>
      </c>
      <c r="B54" s="6">
        <v>45993</v>
      </c>
      <c r="C54" s="2">
        <v>161.68</v>
      </c>
      <c r="D54" s="6">
        <v>46002</v>
      </c>
      <c r="E54" s="2">
        <v>151.97999999999999</v>
      </c>
      <c r="F54" s="7">
        <v>-0.06</v>
      </c>
      <c r="G54" s="2">
        <v>9</v>
      </c>
      <c r="H54" s="2">
        <v>145.27000000000001</v>
      </c>
      <c r="I54" s="15">
        <v>176.46</v>
      </c>
      <c r="J54" s="8">
        <v>5.7299999999999997E-2</v>
      </c>
      <c r="K54" s="6">
        <v>46015</v>
      </c>
      <c r="L54" s="2">
        <v>329.59</v>
      </c>
      <c r="M54" s="2">
        <v>14</v>
      </c>
      <c r="N54" s="8">
        <v>-1.2200000000000001E-2</v>
      </c>
      <c r="O54" s="6">
        <v>46002</v>
      </c>
      <c r="P54" s="2">
        <v>307.92</v>
      </c>
      <c r="Q54" s="2">
        <v>1</v>
      </c>
      <c r="S54" s="26">
        <v>46234</v>
      </c>
      <c r="T54" s="24">
        <v>11877.4</v>
      </c>
      <c r="U54" s="25">
        <v>14201</v>
      </c>
      <c r="AB54" s="2"/>
      <c r="AC54" s="2"/>
      <c r="AG54" s="2"/>
    </row>
    <row r="55" spans="1:36" ht="18" x14ac:dyDescent="0.3">
      <c r="A55" s="3" t="s">
        <v>105</v>
      </c>
      <c r="B55" s="6">
        <v>45982</v>
      </c>
      <c r="C55" s="2">
        <v>12.22</v>
      </c>
      <c r="D55" s="6">
        <v>45987</v>
      </c>
      <c r="E55" s="2">
        <v>13</v>
      </c>
      <c r="F55" s="7">
        <v>6.4000000000000001E-2</v>
      </c>
      <c r="G55" s="2">
        <v>5</v>
      </c>
      <c r="H55" s="2">
        <v>11.15</v>
      </c>
      <c r="I55" s="15">
        <v>13</v>
      </c>
      <c r="J55" s="8">
        <v>4.1099999999999998E-2</v>
      </c>
      <c r="K55" s="6">
        <v>46006</v>
      </c>
      <c r="L55" s="2">
        <v>350.58</v>
      </c>
      <c r="M55" s="2">
        <v>10</v>
      </c>
      <c r="N55" s="8">
        <v>-6.7000000000000002E-3</v>
      </c>
      <c r="O55" s="6">
        <v>45999</v>
      </c>
      <c r="P55" s="2">
        <v>334.5</v>
      </c>
      <c r="Q55" s="2">
        <v>3</v>
      </c>
      <c r="Y55" s="2"/>
      <c r="Z55" s="2"/>
      <c r="AA55" s="2"/>
      <c r="AB55" s="2"/>
      <c r="AC55" s="2"/>
      <c r="AG55" s="2"/>
      <c r="AH55" s="2"/>
      <c r="AI55" s="2"/>
      <c r="AJ55" s="2"/>
    </row>
    <row r="56" spans="1:36" ht="18" x14ac:dyDescent="0.3">
      <c r="A56" s="3" t="s">
        <v>106</v>
      </c>
      <c r="B56" s="6">
        <v>45982</v>
      </c>
      <c r="C56" s="2">
        <v>159.54</v>
      </c>
      <c r="D56" s="6">
        <v>45999</v>
      </c>
      <c r="E56" s="2">
        <v>166.72</v>
      </c>
      <c r="F56" s="7">
        <v>4.4999999999999998E-2</v>
      </c>
      <c r="G56" s="2">
        <v>17</v>
      </c>
      <c r="H56" s="2">
        <v>146.71</v>
      </c>
      <c r="I56" s="15">
        <v>171.49</v>
      </c>
      <c r="J56" s="8">
        <v>1.0800000000000001E-2</v>
      </c>
      <c r="K56" s="6">
        <v>45993</v>
      </c>
      <c r="L56" s="2">
        <v>163.43</v>
      </c>
      <c r="M56" s="2">
        <v>0</v>
      </c>
      <c r="N56" s="8">
        <v>-0.10340000000000001</v>
      </c>
      <c r="O56" s="6">
        <v>46003</v>
      </c>
      <c r="P56" s="2">
        <v>144.97</v>
      </c>
      <c r="Q56" s="2">
        <v>10</v>
      </c>
      <c r="Y56" s="2"/>
      <c r="Z56" s="2"/>
      <c r="AA56" s="2"/>
      <c r="AB56" s="2"/>
      <c r="AC56" s="2"/>
      <c r="AG56" s="2"/>
      <c r="AH56" s="2"/>
      <c r="AI56" s="2"/>
      <c r="AJ56" s="2"/>
    </row>
    <row r="57" spans="1:36" ht="18" x14ac:dyDescent="0.3">
      <c r="A57" s="3" t="s">
        <v>107</v>
      </c>
      <c r="B57" s="6">
        <v>45980</v>
      </c>
      <c r="C57" s="2">
        <v>338.95</v>
      </c>
      <c r="D57" s="6">
        <v>45986</v>
      </c>
      <c r="E57" s="2">
        <v>360.98</v>
      </c>
      <c r="F57" s="7">
        <v>6.5000000000000002E-2</v>
      </c>
      <c r="G57" s="2">
        <v>6</v>
      </c>
      <c r="H57" s="2">
        <v>310.88</v>
      </c>
      <c r="I57" s="15">
        <v>364.33</v>
      </c>
      <c r="J57" s="8">
        <v>6.6299999999999998E-2</v>
      </c>
      <c r="K57" s="6">
        <v>45989</v>
      </c>
      <c r="L57" s="2">
        <v>13.03</v>
      </c>
      <c r="M57" s="2">
        <v>7</v>
      </c>
      <c r="N57" s="8">
        <v>-1.6000000000000001E-3</v>
      </c>
      <c r="O57" s="6">
        <v>45982</v>
      </c>
      <c r="P57" s="2">
        <v>12.2</v>
      </c>
      <c r="Q57" s="2">
        <v>0</v>
      </c>
      <c r="Y57" s="2"/>
      <c r="Z57" s="2"/>
      <c r="AA57" s="2"/>
      <c r="AB57" s="2"/>
      <c r="AC57" s="2"/>
      <c r="AG57" s="2"/>
      <c r="AH57" s="2"/>
      <c r="AI57" s="2"/>
      <c r="AJ57" s="2"/>
    </row>
    <row r="58" spans="1:36" ht="18" x14ac:dyDescent="0.3">
      <c r="A58" s="3" t="s">
        <v>108</v>
      </c>
      <c r="B58" s="6">
        <v>45979</v>
      </c>
      <c r="C58" s="2">
        <v>202.5</v>
      </c>
      <c r="D58" s="6">
        <v>45980</v>
      </c>
      <c r="E58" s="2">
        <v>186.67</v>
      </c>
      <c r="F58" s="7">
        <v>-7.8200000000000006E-2</v>
      </c>
      <c r="G58" s="2">
        <v>1</v>
      </c>
      <c r="H58" s="2">
        <v>186.67</v>
      </c>
      <c r="I58" s="15">
        <v>218.52</v>
      </c>
      <c r="J58" s="8">
        <v>7.0000000000000007E-2</v>
      </c>
      <c r="K58" s="6">
        <v>45989</v>
      </c>
      <c r="L58" s="2">
        <v>170.71</v>
      </c>
      <c r="M58" s="2">
        <v>7</v>
      </c>
      <c r="N58" s="8">
        <v>-3.2000000000000001E-2</v>
      </c>
      <c r="O58" s="6">
        <v>45982</v>
      </c>
      <c r="P58" s="2">
        <v>154.43</v>
      </c>
      <c r="Q58" s="2">
        <v>0</v>
      </c>
      <c r="Y58" s="2"/>
      <c r="Z58" s="2"/>
      <c r="AA58" s="2"/>
      <c r="AB58" s="2"/>
      <c r="AC58" s="2"/>
      <c r="AG58" s="2"/>
      <c r="AH58" s="2"/>
      <c r="AI58" s="2"/>
      <c r="AJ58" s="2"/>
    </row>
    <row r="59" spans="1:36" ht="18" x14ac:dyDescent="0.3">
      <c r="A59" s="3" t="s">
        <v>109</v>
      </c>
      <c r="B59" s="6">
        <v>45974</v>
      </c>
      <c r="C59" s="2">
        <v>74.27</v>
      </c>
      <c r="D59" s="6">
        <v>45986</v>
      </c>
      <c r="E59" s="2">
        <v>79.17</v>
      </c>
      <c r="F59" s="7">
        <v>6.6000000000000003E-2</v>
      </c>
      <c r="G59" s="2">
        <v>12</v>
      </c>
      <c r="H59" s="2">
        <v>68.59</v>
      </c>
      <c r="I59" s="15">
        <v>79.17</v>
      </c>
      <c r="J59" s="8">
        <v>7.3200000000000001E-2</v>
      </c>
      <c r="K59" s="6">
        <v>45987</v>
      </c>
      <c r="L59" s="2">
        <v>363.77</v>
      </c>
      <c r="M59" s="2">
        <v>7</v>
      </c>
      <c r="N59" s="8">
        <v>-4.1000000000000003E-3</v>
      </c>
      <c r="O59" s="6">
        <v>45981</v>
      </c>
      <c r="P59" s="2">
        <v>337.57</v>
      </c>
      <c r="Q59" s="2">
        <v>1</v>
      </c>
      <c r="Y59" s="2"/>
      <c r="Z59" s="2"/>
      <c r="AA59" s="2"/>
      <c r="AB59" s="2"/>
      <c r="AC59" s="2"/>
      <c r="AG59" s="2"/>
      <c r="AH59" s="2"/>
      <c r="AI59" s="2"/>
      <c r="AJ59" s="2"/>
    </row>
    <row r="60" spans="1:36" ht="18" x14ac:dyDescent="0.3">
      <c r="A60" s="3" t="s">
        <v>110</v>
      </c>
      <c r="B60" s="6">
        <v>45973</v>
      </c>
      <c r="C60" s="2">
        <v>968.93</v>
      </c>
      <c r="D60" s="6">
        <v>45974</v>
      </c>
      <c r="E60" s="2">
        <v>873.77</v>
      </c>
      <c r="F60" s="7">
        <v>-9.8199999999999996E-2</v>
      </c>
      <c r="G60" s="2">
        <v>1</v>
      </c>
      <c r="H60" s="2">
        <v>873.77</v>
      </c>
      <c r="I60" s="15">
        <v>1036.72</v>
      </c>
      <c r="J60" s="8">
        <v>7.4000000000000003E-3</v>
      </c>
      <c r="K60" s="6">
        <v>45979</v>
      </c>
      <c r="L60" s="2">
        <v>203.99</v>
      </c>
      <c r="M60" s="2">
        <v>0</v>
      </c>
      <c r="N60" s="8">
        <v>-9.5299999999999996E-2</v>
      </c>
      <c r="O60" s="6">
        <v>45981</v>
      </c>
      <c r="P60" s="2">
        <v>183.2</v>
      </c>
      <c r="Q60" s="2">
        <v>2</v>
      </c>
      <c r="Y60" s="2"/>
      <c r="Z60" s="2"/>
      <c r="AA60" s="2"/>
      <c r="AB60" s="2"/>
      <c r="AC60" s="2"/>
      <c r="AG60" s="2"/>
      <c r="AH60" s="2"/>
      <c r="AI60" s="2"/>
      <c r="AJ60" s="2"/>
    </row>
    <row r="61" spans="1:36" ht="18" x14ac:dyDescent="0.3">
      <c r="A61" s="3" t="s">
        <v>111</v>
      </c>
      <c r="B61" s="6">
        <v>45972</v>
      </c>
      <c r="C61" s="2">
        <v>169.7</v>
      </c>
      <c r="D61" s="6">
        <v>45985</v>
      </c>
      <c r="E61" s="2">
        <v>177.34</v>
      </c>
      <c r="F61" s="7">
        <v>4.4999999999999998E-2</v>
      </c>
      <c r="G61" s="2">
        <v>13</v>
      </c>
      <c r="H61" s="2">
        <v>155.44999999999999</v>
      </c>
      <c r="I61" s="15">
        <v>183.43</v>
      </c>
      <c r="J61" s="8">
        <v>8.09E-2</v>
      </c>
      <c r="K61" s="6">
        <v>45987</v>
      </c>
      <c r="L61" s="2">
        <v>80.27</v>
      </c>
      <c r="M61" s="2">
        <v>13</v>
      </c>
      <c r="N61" s="8">
        <v>-5.6800000000000003E-2</v>
      </c>
      <c r="O61" s="6">
        <v>45979</v>
      </c>
      <c r="P61" s="2">
        <v>70.05</v>
      </c>
      <c r="Q61" s="2">
        <v>5</v>
      </c>
      <c r="Y61" s="2"/>
      <c r="Z61" s="2"/>
      <c r="AA61" s="2"/>
      <c r="AB61" s="2"/>
      <c r="AC61" s="2"/>
      <c r="AG61" s="2"/>
      <c r="AH61" s="2"/>
      <c r="AI61" s="2"/>
      <c r="AJ61" s="2"/>
    </row>
    <row r="62" spans="1:36" ht="18" x14ac:dyDescent="0.3">
      <c r="A62" s="3" t="s">
        <v>112</v>
      </c>
      <c r="B62" s="6">
        <v>45961</v>
      </c>
      <c r="C62" s="2">
        <v>93.49</v>
      </c>
      <c r="D62" s="6">
        <v>45967</v>
      </c>
      <c r="E62" s="2">
        <v>100.2</v>
      </c>
      <c r="F62" s="7">
        <v>7.17E-2</v>
      </c>
      <c r="G62" s="2">
        <v>6</v>
      </c>
      <c r="H62" s="2">
        <v>85.91</v>
      </c>
      <c r="I62" s="15">
        <v>100.2</v>
      </c>
      <c r="J62" s="8">
        <v>7.1000000000000004E-3</v>
      </c>
      <c r="K62" s="6">
        <v>45973</v>
      </c>
      <c r="L62" s="2">
        <v>975.85</v>
      </c>
      <c r="M62" s="2">
        <v>0</v>
      </c>
      <c r="N62" s="8">
        <v>-0.1105</v>
      </c>
      <c r="O62" s="6">
        <v>45975</v>
      </c>
      <c r="P62" s="2">
        <v>861.88</v>
      </c>
      <c r="Q62" s="2">
        <v>2</v>
      </c>
      <c r="Y62" s="2"/>
      <c r="Z62" s="2"/>
      <c r="AA62" s="2"/>
      <c r="AB62" s="2"/>
      <c r="AC62" s="2"/>
      <c r="AG62" s="2"/>
      <c r="AH62" s="2"/>
      <c r="AI62" s="2"/>
      <c r="AJ62" s="2"/>
    </row>
    <row r="63" spans="1:36" ht="18" x14ac:dyDescent="0.3">
      <c r="A63" s="3" t="s">
        <v>113</v>
      </c>
      <c r="B63" s="6">
        <v>45947</v>
      </c>
      <c r="C63" s="2">
        <v>319.41000000000003</v>
      </c>
      <c r="D63" s="6">
        <v>45953</v>
      </c>
      <c r="E63" s="2">
        <v>355.14</v>
      </c>
      <c r="F63" s="7">
        <v>0.1119</v>
      </c>
      <c r="G63" s="2">
        <v>6</v>
      </c>
      <c r="H63" s="2">
        <v>303.83</v>
      </c>
      <c r="I63" s="15">
        <v>355.14</v>
      </c>
      <c r="J63" s="8">
        <v>5.2200000000000003E-2</v>
      </c>
      <c r="K63" s="6">
        <v>45986</v>
      </c>
      <c r="L63" s="2">
        <v>178.55</v>
      </c>
      <c r="M63" s="2">
        <v>14</v>
      </c>
      <c r="N63" s="8">
        <v>-7.6499999999999999E-2</v>
      </c>
      <c r="O63" s="6">
        <v>45980</v>
      </c>
      <c r="P63" s="2">
        <v>156.72</v>
      </c>
      <c r="Q63" s="2">
        <v>8</v>
      </c>
      <c r="Y63" s="2"/>
      <c r="Z63" s="2"/>
      <c r="AA63" s="2"/>
      <c r="AB63" s="2"/>
      <c r="AC63" s="2"/>
      <c r="AG63" s="2"/>
      <c r="AH63" s="2"/>
      <c r="AI63" s="2"/>
      <c r="AJ63" s="2"/>
    </row>
    <row r="64" spans="1:36" ht="18" x14ac:dyDescent="0.3">
      <c r="A64" s="3" t="s">
        <v>114</v>
      </c>
      <c r="B64" s="6">
        <v>45943</v>
      </c>
      <c r="C64" s="2">
        <v>118.34</v>
      </c>
      <c r="D64" s="6">
        <v>45953</v>
      </c>
      <c r="E64" s="2">
        <v>126.04</v>
      </c>
      <c r="F64" s="7">
        <v>6.5000000000000002E-2</v>
      </c>
      <c r="G64" s="2">
        <v>10</v>
      </c>
      <c r="H64" s="2">
        <v>109.54</v>
      </c>
      <c r="I64" s="15">
        <v>127.72</v>
      </c>
      <c r="J64" s="8">
        <v>7.2700000000000001E-2</v>
      </c>
      <c r="K64" s="6">
        <v>45968</v>
      </c>
      <c r="L64" s="2">
        <v>100.29</v>
      </c>
      <c r="M64" s="2">
        <v>7</v>
      </c>
      <c r="N64" s="8">
        <v>-3.1199999999999999E-2</v>
      </c>
      <c r="O64" s="6">
        <v>45965</v>
      </c>
      <c r="P64" s="2">
        <v>90.57</v>
      </c>
      <c r="Q64" s="2">
        <v>4</v>
      </c>
      <c r="Y64" s="2"/>
      <c r="Z64" s="2"/>
      <c r="AA64" s="2"/>
      <c r="AB64" s="2"/>
      <c r="AC64" s="2"/>
      <c r="AG64" s="2"/>
      <c r="AH64" s="2"/>
      <c r="AI64" s="2"/>
      <c r="AJ64" s="2"/>
    </row>
    <row r="65" spans="1:36" ht="18" x14ac:dyDescent="0.3">
      <c r="A65" s="3" t="s">
        <v>115</v>
      </c>
      <c r="B65" s="6">
        <v>45943</v>
      </c>
      <c r="C65" s="2">
        <v>45.4</v>
      </c>
      <c r="D65" s="6">
        <v>45952</v>
      </c>
      <c r="E65" s="2">
        <v>48.35</v>
      </c>
      <c r="F65" s="7">
        <v>6.5000000000000002E-2</v>
      </c>
      <c r="G65" s="2">
        <v>9</v>
      </c>
      <c r="H65" s="2">
        <v>40.950000000000003</v>
      </c>
      <c r="I65" s="15">
        <v>48.62</v>
      </c>
      <c r="J65" s="8">
        <v>0.1173</v>
      </c>
      <c r="K65" s="6">
        <v>45954</v>
      </c>
      <c r="L65" s="2">
        <v>356.88</v>
      </c>
      <c r="M65" s="2">
        <v>7</v>
      </c>
      <c r="N65" s="8">
        <v>-2.8000000000000001E-2</v>
      </c>
      <c r="O65" s="6">
        <v>45952</v>
      </c>
      <c r="P65" s="2">
        <v>310.48</v>
      </c>
      <c r="Q65" s="2">
        <v>5</v>
      </c>
      <c r="Y65" s="2"/>
      <c r="Z65" s="2"/>
      <c r="AA65" s="2"/>
      <c r="AB65" s="2"/>
      <c r="AC65" s="2"/>
      <c r="AG65" s="2"/>
      <c r="AH65" s="2"/>
      <c r="AI65" s="2"/>
      <c r="AJ65" s="2"/>
    </row>
    <row r="66" spans="1:36" ht="18" x14ac:dyDescent="0.3">
      <c r="A66" s="3" t="s">
        <v>116</v>
      </c>
      <c r="B66" s="6">
        <v>45940</v>
      </c>
      <c r="C66" s="2">
        <v>71.680000000000007</v>
      </c>
      <c r="D66" s="6">
        <v>45957</v>
      </c>
      <c r="E66" s="2">
        <v>76.150000000000006</v>
      </c>
      <c r="F66" s="7">
        <v>6.2399999999999997E-2</v>
      </c>
      <c r="G66" s="2">
        <v>17</v>
      </c>
      <c r="H66" s="2">
        <v>65.62</v>
      </c>
      <c r="I66" s="15">
        <v>76.150000000000006</v>
      </c>
      <c r="J66" s="8">
        <v>6.6900000000000001E-2</v>
      </c>
      <c r="K66" s="6">
        <v>45954</v>
      </c>
      <c r="L66" s="2">
        <v>126.26</v>
      </c>
      <c r="M66" s="2">
        <v>11</v>
      </c>
      <c r="N66" s="8">
        <v>-6.0299999999999999E-2</v>
      </c>
      <c r="O66" s="6">
        <v>45944</v>
      </c>
      <c r="P66" s="2">
        <v>111.2</v>
      </c>
      <c r="Q66" s="2">
        <v>1</v>
      </c>
      <c r="Y66" s="2"/>
      <c r="Z66" s="2"/>
      <c r="AA66" s="2"/>
      <c r="AB66" s="2"/>
      <c r="AC66" s="2"/>
      <c r="AG66" s="2"/>
      <c r="AH66" s="2"/>
      <c r="AI66" s="2"/>
      <c r="AJ66" s="2"/>
    </row>
    <row r="67" spans="1:36" ht="18" x14ac:dyDescent="0.3">
      <c r="A67" s="3" t="s">
        <v>75</v>
      </c>
      <c r="B67" s="6">
        <v>45940</v>
      </c>
      <c r="C67" s="2">
        <v>94.69</v>
      </c>
      <c r="D67" s="6">
        <v>45954</v>
      </c>
      <c r="E67" s="2">
        <v>98.95</v>
      </c>
      <c r="F67" s="7">
        <v>4.4999999999999998E-2</v>
      </c>
      <c r="G67" s="2">
        <v>14</v>
      </c>
      <c r="H67" s="2">
        <v>86.86</v>
      </c>
      <c r="I67" s="15">
        <v>100.76</v>
      </c>
      <c r="J67" s="8">
        <v>6.8400000000000002E-2</v>
      </c>
      <c r="K67" s="6">
        <v>45953</v>
      </c>
      <c r="L67" s="2">
        <v>48.5</v>
      </c>
      <c r="M67" s="2">
        <v>10</v>
      </c>
      <c r="N67" s="8">
        <v>-4.3999999999999997E-2</v>
      </c>
      <c r="O67" s="6">
        <v>45944</v>
      </c>
      <c r="P67" s="2">
        <v>43.4</v>
      </c>
      <c r="Q67" s="2">
        <v>1</v>
      </c>
      <c r="Y67" s="2"/>
      <c r="Z67" s="2"/>
      <c r="AA67" s="2"/>
      <c r="AB67" s="2"/>
      <c r="AC67" s="2"/>
      <c r="AG67" s="2"/>
      <c r="AH67" s="2"/>
      <c r="AI67" s="2"/>
      <c r="AJ67" s="2"/>
    </row>
    <row r="68" spans="1:36" ht="18" x14ac:dyDescent="0.3">
      <c r="A68" s="3" t="s">
        <v>117</v>
      </c>
      <c r="B68" s="6">
        <v>45936</v>
      </c>
      <c r="C68" s="2">
        <v>163.98</v>
      </c>
      <c r="D68" s="6">
        <v>45939</v>
      </c>
      <c r="E68" s="2">
        <v>150.44999999999999</v>
      </c>
      <c r="F68" s="7">
        <v>-8.2500000000000004E-2</v>
      </c>
      <c r="G68" s="2">
        <v>3</v>
      </c>
      <c r="H68" s="2">
        <v>150.44999999999999</v>
      </c>
      <c r="I68" s="15">
        <v>176.61</v>
      </c>
      <c r="J68" s="8">
        <v>0.22839999999999999</v>
      </c>
      <c r="K68" s="6">
        <v>45958</v>
      </c>
      <c r="L68" s="2">
        <v>88.05</v>
      </c>
      <c r="M68" s="2">
        <v>18</v>
      </c>
      <c r="N68" s="8">
        <v>-6.7799999999999999E-2</v>
      </c>
      <c r="O68" s="6">
        <v>45940</v>
      </c>
      <c r="P68" s="2">
        <v>66.81</v>
      </c>
      <c r="Q68" s="2">
        <v>0</v>
      </c>
      <c r="Y68" s="2"/>
      <c r="Z68" s="2"/>
      <c r="AA68" s="2"/>
      <c r="AB68" s="2"/>
      <c r="AC68" s="2"/>
      <c r="AG68" s="2"/>
      <c r="AH68" s="2"/>
      <c r="AI68" s="2"/>
      <c r="AJ68" s="2"/>
    </row>
    <row r="69" spans="1:36" ht="18" x14ac:dyDescent="0.3">
      <c r="A69" s="3" t="s">
        <v>118</v>
      </c>
      <c r="B69" s="6">
        <v>45919</v>
      </c>
      <c r="C69" s="2">
        <v>78.430000000000007</v>
      </c>
      <c r="D69" s="6">
        <v>45932</v>
      </c>
      <c r="E69" s="2">
        <v>81.96</v>
      </c>
      <c r="F69" s="7">
        <v>4.4999999999999998E-2</v>
      </c>
      <c r="G69" s="2">
        <v>13</v>
      </c>
      <c r="H69" s="2">
        <v>72.12</v>
      </c>
      <c r="I69" s="15">
        <v>83.26</v>
      </c>
      <c r="J69" s="8">
        <v>6.1899999999999997E-2</v>
      </c>
      <c r="K69" s="6">
        <v>45945</v>
      </c>
      <c r="L69" s="2">
        <v>100.54</v>
      </c>
      <c r="M69" s="2">
        <v>5</v>
      </c>
      <c r="N69" s="8">
        <v>-2.64E-2</v>
      </c>
      <c r="O69" s="6">
        <v>45940</v>
      </c>
      <c r="P69" s="2">
        <v>92.19</v>
      </c>
      <c r="Q69" s="2">
        <v>0</v>
      </c>
      <c r="Y69" s="2"/>
      <c r="Z69" s="2"/>
      <c r="AA69" s="2"/>
      <c r="AB69" s="2"/>
      <c r="AC69" s="2"/>
      <c r="AG69" s="2"/>
      <c r="AH69" s="2"/>
      <c r="AI69" s="2"/>
      <c r="AJ69" s="2"/>
    </row>
    <row r="70" spans="1:36" ht="18" x14ac:dyDescent="0.3">
      <c r="A70" s="3" t="s">
        <v>92</v>
      </c>
      <c r="B70" s="6">
        <v>45912</v>
      </c>
      <c r="C70" s="2">
        <v>35.17</v>
      </c>
      <c r="D70" s="6">
        <v>45926</v>
      </c>
      <c r="E70" s="2">
        <v>36.75</v>
      </c>
      <c r="F70" s="7">
        <v>4.4999999999999998E-2</v>
      </c>
      <c r="G70" s="2">
        <v>14</v>
      </c>
      <c r="H70" s="2">
        <v>32.51</v>
      </c>
      <c r="I70" s="15">
        <v>38.03</v>
      </c>
      <c r="J70" s="8">
        <v>6.4999999999999997E-3</v>
      </c>
      <c r="K70" s="6">
        <v>45936</v>
      </c>
      <c r="L70" s="2">
        <v>165.04</v>
      </c>
      <c r="M70" s="2">
        <v>0</v>
      </c>
      <c r="N70" s="8">
        <v>-9.3200000000000005E-2</v>
      </c>
      <c r="O70" s="6">
        <v>45940</v>
      </c>
      <c r="P70" s="2">
        <v>148.69</v>
      </c>
      <c r="Q70" s="2">
        <v>4</v>
      </c>
      <c r="Y70" s="2"/>
      <c r="Z70" s="2"/>
      <c r="AA70" s="2"/>
      <c r="AB70" s="2"/>
      <c r="AC70" s="2"/>
      <c r="AG70" s="2"/>
      <c r="AH70" s="2"/>
      <c r="AI70" s="2"/>
      <c r="AJ70" s="2"/>
    </row>
    <row r="71" spans="1:36" ht="18" x14ac:dyDescent="0.3">
      <c r="A71" s="3" t="s">
        <v>119</v>
      </c>
      <c r="B71" s="6">
        <v>45891</v>
      </c>
      <c r="C71" s="2">
        <v>126.86</v>
      </c>
      <c r="D71" s="6">
        <v>45909</v>
      </c>
      <c r="E71" s="2">
        <v>140.47999999999999</v>
      </c>
      <c r="F71" s="7">
        <v>0.10730000000000001</v>
      </c>
      <c r="G71" s="2">
        <v>18</v>
      </c>
      <c r="H71" s="2">
        <v>116.33</v>
      </c>
      <c r="I71" s="15">
        <v>140.47999999999999</v>
      </c>
      <c r="J71" s="8">
        <v>5.2699999999999997E-2</v>
      </c>
      <c r="K71" s="6">
        <v>45933</v>
      </c>
      <c r="L71" s="2">
        <v>82.56</v>
      </c>
      <c r="M71" s="2">
        <v>14</v>
      </c>
      <c r="N71" s="8">
        <v>-4.9200000000000001E-2</v>
      </c>
      <c r="O71" s="6">
        <v>45922</v>
      </c>
      <c r="P71" s="2">
        <v>74.58</v>
      </c>
      <c r="Q71" s="2">
        <v>3</v>
      </c>
      <c r="Y71" s="2"/>
      <c r="Z71" s="2"/>
      <c r="AA71" s="2"/>
      <c r="AB71" s="2"/>
      <c r="AC71" s="2"/>
      <c r="AG71" s="2"/>
      <c r="AH71" s="2"/>
      <c r="AI71" s="2"/>
      <c r="AJ71" s="2"/>
    </row>
    <row r="72" spans="1:36" ht="18" x14ac:dyDescent="0.3">
      <c r="A72" s="3" t="s">
        <v>120</v>
      </c>
      <c r="B72" s="6">
        <v>45889</v>
      </c>
      <c r="C72" s="2">
        <v>312.66000000000003</v>
      </c>
      <c r="D72" s="6">
        <v>45909</v>
      </c>
      <c r="E72" s="2">
        <v>326.73</v>
      </c>
      <c r="F72" s="7">
        <v>4.4999999999999998E-2</v>
      </c>
      <c r="G72" s="2">
        <v>20</v>
      </c>
      <c r="H72" s="2">
        <v>290.68</v>
      </c>
      <c r="I72" s="15">
        <v>337.97</v>
      </c>
      <c r="J72" s="8">
        <v>4.7500000000000001E-2</v>
      </c>
      <c r="K72" s="6">
        <v>45929</v>
      </c>
      <c r="L72" s="2">
        <v>36.840000000000003</v>
      </c>
      <c r="M72" s="2">
        <v>17</v>
      </c>
      <c r="N72" s="8">
        <v>-3.04E-2</v>
      </c>
      <c r="O72" s="6">
        <v>45924</v>
      </c>
      <c r="P72" s="2">
        <v>34.1</v>
      </c>
      <c r="Q72" s="2">
        <v>12</v>
      </c>
      <c r="Y72" s="2"/>
      <c r="Z72" s="2"/>
      <c r="AA72" s="2"/>
      <c r="AB72" s="2"/>
      <c r="AC72" s="2"/>
      <c r="AG72" s="2"/>
      <c r="AH72" s="2"/>
      <c r="AI72" s="2"/>
      <c r="AJ72" s="2"/>
    </row>
    <row r="73" spans="1:36" ht="18" x14ac:dyDescent="0.3">
      <c r="A73" s="3" t="s">
        <v>121</v>
      </c>
      <c r="B73" s="6">
        <v>45881</v>
      </c>
      <c r="C73" s="2">
        <v>10.81</v>
      </c>
      <c r="D73" s="6">
        <v>45887</v>
      </c>
      <c r="E73" s="2">
        <v>11.51</v>
      </c>
      <c r="F73" s="7">
        <v>6.5000000000000002E-2</v>
      </c>
      <c r="G73" s="2">
        <v>6</v>
      </c>
      <c r="H73" s="2">
        <v>9.92</v>
      </c>
      <c r="I73" s="15">
        <v>12.96</v>
      </c>
      <c r="J73" s="8">
        <v>0.112</v>
      </c>
      <c r="K73" s="6">
        <v>45910</v>
      </c>
      <c r="L73" s="2">
        <v>141.06</v>
      </c>
      <c r="M73" s="2">
        <v>19</v>
      </c>
      <c r="N73" s="8">
        <v>-6.54E-2</v>
      </c>
      <c r="O73" s="6">
        <v>45905</v>
      </c>
      <c r="P73" s="2">
        <v>118.57</v>
      </c>
      <c r="Q73" s="2">
        <v>14</v>
      </c>
      <c r="Y73" s="2"/>
      <c r="Z73" s="2"/>
      <c r="AA73" s="2"/>
      <c r="AB73" s="2"/>
      <c r="AC73" s="2"/>
      <c r="AG73" s="2"/>
      <c r="AH73" s="2"/>
      <c r="AI73" s="2"/>
      <c r="AJ73" s="2"/>
    </row>
    <row r="74" spans="1:36" ht="18" x14ac:dyDescent="0.3">
      <c r="A74" s="3" t="s">
        <v>122</v>
      </c>
      <c r="B74" s="6">
        <v>45874</v>
      </c>
      <c r="C74" s="2">
        <v>213.05</v>
      </c>
      <c r="D74" s="6">
        <v>45882</v>
      </c>
      <c r="E74" s="2">
        <v>230.4</v>
      </c>
      <c r="F74" s="7">
        <v>8.14E-2</v>
      </c>
      <c r="G74" s="2">
        <v>8</v>
      </c>
      <c r="H74" s="2">
        <v>194.72</v>
      </c>
      <c r="I74" s="15">
        <v>230.4</v>
      </c>
      <c r="J74" s="8">
        <v>4.58E-2</v>
      </c>
      <c r="K74" s="6">
        <v>45910</v>
      </c>
      <c r="L74" s="2">
        <v>326.98</v>
      </c>
      <c r="M74" s="2">
        <v>21</v>
      </c>
      <c r="N74" s="8">
        <v>-6.6199999999999995E-2</v>
      </c>
      <c r="O74" s="6">
        <v>45905</v>
      </c>
      <c r="P74" s="2">
        <v>291.97000000000003</v>
      </c>
      <c r="Q74" s="2">
        <v>16</v>
      </c>
      <c r="Y74" s="2"/>
      <c r="Z74" s="2"/>
      <c r="AA74" s="2"/>
      <c r="AB74" s="2"/>
      <c r="AC74" s="2"/>
      <c r="AG74" s="2"/>
      <c r="AH74" s="2"/>
      <c r="AI74" s="2"/>
      <c r="AJ74" s="2"/>
    </row>
    <row r="75" spans="1:36" ht="18" x14ac:dyDescent="0.3">
      <c r="A75" s="3" t="s">
        <v>123</v>
      </c>
      <c r="B75" s="6">
        <v>45873</v>
      </c>
      <c r="C75" s="2">
        <v>79.900000000000006</v>
      </c>
      <c r="D75" s="6">
        <v>45890</v>
      </c>
      <c r="E75" s="2">
        <v>80.62</v>
      </c>
      <c r="F75" s="7">
        <v>8.9999999999999993E-3</v>
      </c>
      <c r="G75" s="2">
        <v>17</v>
      </c>
      <c r="H75" s="2">
        <v>72.94</v>
      </c>
      <c r="I75" s="15">
        <v>86.8</v>
      </c>
      <c r="J75" s="8">
        <v>0.13139999999999999</v>
      </c>
      <c r="K75" s="6">
        <v>45882</v>
      </c>
      <c r="L75" s="2">
        <v>12.23</v>
      </c>
      <c r="M75" s="2">
        <v>1</v>
      </c>
      <c r="N75" s="8">
        <v>-1.9E-3</v>
      </c>
      <c r="O75" s="6">
        <v>45881</v>
      </c>
      <c r="P75" s="2">
        <v>10.79</v>
      </c>
      <c r="Q75" s="2">
        <v>0</v>
      </c>
      <c r="Y75" s="2"/>
      <c r="Z75" s="2"/>
      <c r="AA75" s="2"/>
      <c r="AB75" s="2"/>
      <c r="AC75" s="2"/>
      <c r="AG75" s="2"/>
      <c r="AH75" s="2"/>
      <c r="AI75" s="2"/>
      <c r="AJ75" s="2"/>
    </row>
    <row r="76" spans="1:36" ht="18" x14ac:dyDescent="0.3">
      <c r="A76" s="3" t="s">
        <v>124</v>
      </c>
      <c r="B76" s="6">
        <v>45873</v>
      </c>
      <c r="C76" s="2">
        <v>130.83000000000001</v>
      </c>
      <c r="D76" s="6">
        <v>45887</v>
      </c>
      <c r="E76" s="2">
        <v>136.71</v>
      </c>
      <c r="F76" s="7">
        <v>4.4999999999999998E-2</v>
      </c>
      <c r="G76" s="2">
        <v>14</v>
      </c>
      <c r="H76" s="2">
        <v>119.98</v>
      </c>
      <c r="I76" s="15">
        <v>143.84</v>
      </c>
      <c r="J76" s="8">
        <v>9.4200000000000006E-2</v>
      </c>
      <c r="K76" s="6">
        <v>45883</v>
      </c>
      <c r="L76" s="2">
        <v>233.11</v>
      </c>
      <c r="M76" s="2">
        <v>9</v>
      </c>
      <c r="N76" s="8">
        <v>-8.0000000000000004E-4</v>
      </c>
      <c r="O76" s="6">
        <v>45874</v>
      </c>
      <c r="P76" s="2">
        <v>212.87</v>
      </c>
      <c r="Q76" s="2">
        <v>0</v>
      </c>
      <c r="Y76" s="2"/>
      <c r="Z76" s="2"/>
      <c r="AA76" s="2"/>
      <c r="AB76" s="2"/>
      <c r="AC76" s="2"/>
      <c r="AG76" s="2"/>
      <c r="AH76" s="2"/>
      <c r="AI76" s="2"/>
      <c r="AJ76" s="2"/>
    </row>
    <row r="77" spans="1:36" ht="18" x14ac:dyDescent="0.3">
      <c r="A77" s="3"/>
      <c r="B77" s="6">
        <v>45869</v>
      </c>
      <c r="C77" s="2">
        <v>10.26</v>
      </c>
      <c r="D77" s="6">
        <v>45877</v>
      </c>
      <c r="E77" s="2">
        <v>11.14</v>
      </c>
      <c r="F77" s="7">
        <v>8.5400000000000004E-2</v>
      </c>
      <c r="G77" s="2">
        <v>8</v>
      </c>
      <c r="H77" s="2">
        <v>9.5299999999999994</v>
      </c>
      <c r="I77" s="15">
        <v>11.14</v>
      </c>
      <c r="J77" s="8">
        <v>3.0800000000000001E-2</v>
      </c>
      <c r="K77" s="6">
        <v>45891</v>
      </c>
      <c r="L77" s="2">
        <v>82.36</v>
      </c>
      <c r="M77" s="2">
        <v>18</v>
      </c>
      <c r="N77" s="8">
        <v>-6.3799999999999996E-2</v>
      </c>
      <c r="O77" s="6">
        <v>45875</v>
      </c>
      <c r="P77" s="2">
        <v>74.8</v>
      </c>
      <c r="Q77" s="2">
        <v>2</v>
      </c>
      <c r="Y77" s="2"/>
      <c r="Z77" s="2"/>
      <c r="AA77" s="2"/>
      <c r="AB77" s="2"/>
      <c r="AC77" s="2"/>
      <c r="AG77" s="2"/>
      <c r="AH77" s="2"/>
      <c r="AI77" s="2"/>
      <c r="AJ77" s="2"/>
    </row>
    <row r="78" spans="1:36" ht="18" x14ac:dyDescent="0.3">
      <c r="A78" s="3" t="s">
        <v>125</v>
      </c>
      <c r="B78" s="6">
        <v>45868</v>
      </c>
      <c r="C78" s="2">
        <v>215.13</v>
      </c>
      <c r="D78" s="6">
        <v>45887</v>
      </c>
      <c r="E78" s="2">
        <v>210.42</v>
      </c>
      <c r="F78" s="7">
        <v>-2.1899999999999999E-2</v>
      </c>
      <c r="G78" s="2">
        <v>19</v>
      </c>
      <c r="H78" s="2">
        <v>197.32</v>
      </c>
      <c r="I78" s="15">
        <v>231.91</v>
      </c>
      <c r="J78" s="8">
        <v>4.7100000000000003E-2</v>
      </c>
      <c r="K78" s="6">
        <v>45888</v>
      </c>
      <c r="L78" s="2">
        <v>136.99</v>
      </c>
      <c r="M78" s="2">
        <v>15</v>
      </c>
      <c r="N78" s="8">
        <v>-2.1100000000000001E-2</v>
      </c>
      <c r="O78" s="6">
        <v>45880</v>
      </c>
      <c r="P78" s="2">
        <v>128.06</v>
      </c>
      <c r="Q78" s="2">
        <v>7</v>
      </c>
      <c r="Y78" s="2"/>
      <c r="Z78" s="2"/>
      <c r="AA78" s="2"/>
      <c r="AB78" s="2"/>
      <c r="AC78" s="2"/>
      <c r="AG78" s="2"/>
      <c r="AH78" s="2"/>
      <c r="AI78" s="2"/>
      <c r="AJ78" s="2"/>
    </row>
    <row r="79" spans="1:36" ht="18" x14ac:dyDescent="0.3">
      <c r="A79" s="3" t="s">
        <v>81</v>
      </c>
      <c r="B79" s="6">
        <v>45868</v>
      </c>
      <c r="C79" s="2">
        <v>78.42</v>
      </c>
      <c r="D79" s="6">
        <v>45887</v>
      </c>
      <c r="E79" s="2">
        <v>79</v>
      </c>
      <c r="F79" s="7">
        <v>7.4000000000000003E-3</v>
      </c>
      <c r="G79" s="2">
        <v>19</v>
      </c>
      <c r="H79" s="2">
        <v>71.819999999999993</v>
      </c>
      <c r="I79" s="15">
        <v>84.63</v>
      </c>
      <c r="J79" s="8">
        <v>8.8700000000000001E-2</v>
      </c>
      <c r="K79" s="6">
        <v>45880</v>
      </c>
      <c r="L79" s="2">
        <v>11.17</v>
      </c>
      <c r="M79" s="2">
        <v>11</v>
      </c>
      <c r="N79" s="8">
        <v>-8.3999999999999995E-3</v>
      </c>
      <c r="O79" s="6">
        <v>45869</v>
      </c>
      <c r="P79" s="2">
        <v>10.18</v>
      </c>
      <c r="Q79" s="2">
        <v>0</v>
      </c>
      <c r="Y79" s="2"/>
      <c r="Z79" s="2"/>
      <c r="AA79" s="2"/>
      <c r="AB79" s="2"/>
      <c r="AC79" s="2"/>
      <c r="AG79" s="2"/>
      <c r="AH79" s="2"/>
      <c r="AI79" s="2"/>
      <c r="AJ79" s="2"/>
    </row>
    <row r="80" spans="1:36" ht="18" x14ac:dyDescent="0.3">
      <c r="J80" s="8">
        <v>8.9999999999999993E-3</v>
      </c>
      <c r="K80" s="6">
        <v>45868</v>
      </c>
      <c r="L80" s="2">
        <v>217.06</v>
      </c>
      <c r="M80" s="2">
        <v>0</v>
      </c>
      <c r="N80" s="8">
        <v>-3.6799999999999999E-2</v>
      </c>
      <c r="O80" s="6">
        <v>45880</v>
      </c>
      <c r="P80" s="2">
        <v>207.21</v>
      </c>
      <c r="Q80" s="2">
        <v>12</v>
      </c>
      <c r="Y80" s="2"/>
      <c r="Z80" s="2"/>
      <c r="AA80" s="2"/>
      <c r="AB80" s="2"/>
      <c r="AC80" s="2"/>
      <c r="AG80" s="2"/>
      <c r="AH80" s="2"/>
      <c r="AI80" s="2"/>
      <c r="AJ80" s="2"/>
    </row>
    <row r="81" spans="10:36" ht="18" x14ac:dyDescent="0.3">
      <c r="J81" s="8">
        <v>4.0300000000000002E-2</v>
      </c>
      <c r="K81" s="6">
        <v>45882</v>
      </c>
      <c r="L81" s="2">
        <v>81.58</v>
      </c>
      <c r="M81" s="2">
        <v>14</v>
      </c>
      <c r="N81" s="8">
        <v>-3.4299999999999997E-2</v>
      </c>
      <c r="O81" s="6">
        <v>45870</v>
      </c>
      <c r="P81" s="2">
        <v>75.73</v>
      </c>
      <c r="Q81" s="2">
        <v>2</v>
      </c>
      <c r="Y81" s="2"/>
      <c r="Z81" s="2"/>
      <c r="AA81" s="2"/>
      <c r="AB81" s="2"/>
      <c r="AC81" s="2"/>
      <c r="AG81" s="2"/>
      <c r="AH81" s="2"/>
      <c r="AI81" s="2"/>
      <c r="AJ8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Barber</dc:creator>
  <cp:lastModifiedBy>Howard Barber</cp:lastModifiedBy>
  <dcterms:created xsi:type="dcterms:W3CDTF">2026-08-07T19:29:08Z</dcterms:created>
  <dcterms:modified xsi:type="dcterms:W3CDTF">2026-08-07T20:39:22Z</dcterms:modified>
</cp:coreProperties>
</file>